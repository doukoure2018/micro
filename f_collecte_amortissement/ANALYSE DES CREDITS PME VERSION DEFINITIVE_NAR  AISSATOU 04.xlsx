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GENT\Desktop\YAKE SONOMOU\"/>
    </mc:Choice>
  </mc:AlternateContent>
  <workbookProtection workbookAlgorithmName="SHA-512" workbookHashValue="7YwGulbu++q61IClZbvGa7CG/SS2+pYTsi1V6qdzo0dI2O7G+qpd+A4jFz236Y0hVWA/qnpX+EQwj59aDEETow==" workbookSaltValue="+dEP8sChKhkta+4djoAk9A==" workbookSpinCount="100000" lockStructure="1"/>
  <bookViews>
    <workbookView xWindow="-120" yWindow="-120" windowWidth="20730" windowHeight="11040" tabRatio="529" activeTab="4"/>
  </bookViews>
  <sheets>
    <sheet name="CRG" sheetId="3" r:id="rId1"/>
    <sheet name="Demande" sheetId="8" r:id="rId2"/>
    <sheet name="Collecte des données" sheetId="1" r:id="rId3"/>
    <sheet name="Amorts" sheetId="7" r:id="rId4"/>
    <sheet name="Analyse" sheetId="4" r:id="rId5"/>
    <sheet name="Avis" sheetId="9" r:id="rId6"/>
  </sheets>
  <definedNames>
    <definedName name="_xlnm._FilterDatabase" localSheetId="2" hidden="1">'Collecte des données'!$V$50:$V$70</definedName>
    <definedName name="Activites1">CRG!$B$1:$F$1</definedName>
    <definedName name="AGRICULTURE">CRG!$A$2:$A$5</definedName>
    <definedName name="Amorti">#REF!</definedName>
    <definedName name="ARTISANAT">CRG!$C$2:$C$9</definedName>
    <definedName name="Autre">CRG!$F$1:$F$1</definedName>
    <definedName name="Autres_charges_dexploitation">#REF!</definedName>
    <definedName name="ChiffreAffaire">CRG!$Y$1:$Y$3</definedName>
    <definedName name="COMMERCE">CRG!$B$2:$B$8</definedName>
    <definedName name="Commercialisation">CRG!$J$2:$J$14</definedName>
    <definedName name="Immobilisations">CRG!$A$15:$A$20</definedName>
    <definedName name="INDUSTRIE">CRG!$E$2:$E$3</definedName>
    <definedName name="MargeBrute">CRG!$Z$1:$Z$4</definedName>
    <definedName name="niveau_de_risque">#REF!</definedName>
    <definedName name="Objet_crédit">#REF!</definedName>
    <definedName name="PDA">#REF!</definedName>
    <definedName name="Periode_analyse">CRG!$AC$1:$AC$7</definedName>
    <definedName name="Periodicite">CRG!$L$2:$L$8</definedName>
    <definedName name="Production_animale">CRG!$G$2:$G$9</definedName>
    <definedName name="Production_vegetale">CRG!$H$2:$H$14</definedName>
    <definedName name="Production_végétale">CRG!$H$2:$H$14</definedName>
    <definedName name="SERVICE">CRG!$D$2:$D$7</definedName>
    <definedName name="Simulation">CRG!$AE$1:$AE$2</definedName>
    <definedName name="Transformation">CRG!$I$2:$I$14</definedName>
    <definedName name="_xlnm.Print_Area" localSheetId="3">Amorts!$B$5:$L$105</definedName>
    <definedName name="_xlnm.Print_Area" localSheetId="4">Analyse!$B$2:$T$128</definedName>
    <definedName name="_xlnm.Print_Area" localSheetId="5">Avis!$B$2:$Q$52</definedName>
    <definedName name="_xlnm.Print_Area" localSheetId="2">'Collecte des données'!$A$1:$T$306</definedName>
    <definedName name="_xlnm.Print_Area" localSheetId="1">Demande!$B$3:$AM$66</definedName>
  </definedNames>
  <calcPr calcId="162913"/>
</workbook>
</file>

<file path=xl/calcChain.xml><?xml version="1.0" encoding="utf-8"?>
<calcChain xmlns="http://schemas.openxmlformats.org/spreadsheetml/2006/main">
  <c r="D7" i="9" l="1"/>
  <c r="C93" i="4"/>
  <c r="M72" i="4"/>
  <c r="M71" i="4"/>
  <c r="M70" i="4"/>
  <c r="Q55" i="4"/>
  <c r="M55" i="4"/>
  <c r="Q41" i="4"/>
  <c r="Q57" i="4" s="1"/>
  <c r="Q59" i="4" s="1"/>
  <c r="Q63" i="4" s="1"/>
  <c r="M41" i="4"/>
  <c r="M57" i="4" s="1"/>
  <c r="M59" i="4" s="1"/>
  <c r="M63" i="4" s="1"/>
  <c r="I7" i="4"/>
  <c r="K105" i="7"/>
  <c r="J105" i="7"/>
  <c r="I105" i="7" s="1"/>
  <c r="K104" i="7"/>
  <c r="J104" i="7"/>
  <c r="I104" i="7" s="1"/>
  <c r="K103" i="7"/>
  <c r="J103" i="7"/>
  <c r="I103" i="7"/>
  <c r="K102" i="7"/>
  <c r="J102" i="7"/>
  <c r="I102" i="7" s="1"/>
  <c r="K101" i="7"/>
  <c r="J101" i="7"/>
  <c r="I101" i="7" s="1"/>
  <c r="K100" i="7"/>
  <c r="J100" i="7"/>
  <c r="I100" i="7" s="1"/>
  <c r="K99" i="7"/>
  <c r="J99" i="7"/>
  <c r="I99" i="7"/>
  <c r="K98" i="7"/>
  <c r="J98" i="7"/>
  <c r="I98" i="7" s="1"/>
  <c r="K97" i="7"/>
  <c r="J97" i="7"/>
  <c r="I97" i="7" s="1"/>
  <c r="K96" i="7"/>
  <c r="J96" i="7"/>
  <c r="I96" i="7" s="1"/>
  <c r="K95" i="7"/>
  <c r="J95" i="7"/>
  <c r="I95" i="7"/>
  <c r="K94" i="7"/>
  <c r="J94" i="7"/>
  <c r="I94" i="7" s="1"/>
  <c r="K93" i="7"/>
  <c r="J93" i="7"/>
  <c r="I93" i="7" s="1"/>
  <c r="K92" i="7"/>
  <c r="J92" i="7"/>
  <c r="I92" i="7" s="1"/>
  <c r="K91" i="7"/>
  <c r="J91" i="7"/>
  <c r="I91" i="7"/>
  <c r="K90" i="7"/>
  <c r="J90" i="7"/>
  <c r="I90" i="7" s="1"/>
  <c r="K89" i="7"/>
  <c r="J89" i="7"/>
  <c r="I89" i="7" s="1"/>
  <c r="K88" i="7"/>
  <c r="J88" i="7"/>
  <c r="I88" i="7" s="1"/>
  <c r="K87" i="7"/>
  <c r="J87" i="7"/>
  <c r="I87" i="7"/>
  <c r="K86" i="7"/>
  <c r="J86" i="7"/>
  <c r="I86" i="7" s="1"/>
  <c r="K85" i="7"/>
  <c r="J85" i="7"/>
  <c r="I85" i="7" s="1"/>
  <c r="K84" i="7"/>
  <c r="J84" i="7"/>
  <c r="I84" i="7" s="1"/>
  <c r="K83" i="7"/>
  <c r="J83" i="7"/>
  <c r="I83" i="7"/>
  <c r="K82" i="7"/>
  <c r="J82" i="7"/>
  <c r="I82" i="7" s="1"/>
  <c r="K81" i="7"/>
  <c r="J81" i="7"/>
  <c r="I81" i="7" s="1"/>
  <c r="K80" i="7"/>
  <c r="J80" i="7"/>
  <c r="I80" i="7" s="1"/>
  <c r="K79" i="7"/>
  <c r="J79" i="7"/>
  <c r="I79" i="7"/>
  <c r="K78" i="7"/>
  <c r="J78" i="7"/>
  <c r="I78" i="7" s="1"/>
  <c r="K77" i="7"/>
  <c r="J77" i="7"/>
  <c r="I77" i="7" s="1"/>
  <c r="K76" i="7"/>
  <c r="J76" i="7"/>
  <c r="I76" i="7" s="1"/>
  <c r="K75" i="7"/>
  <c r="J75" i="7"/>
  <c r="I75" i="7"/>
  <c r="K74" i="7"/>
  <c r="J74" i="7"/>
  <c r="I74" i="7" s="1"/>
  <c r="K73" i="7"/>
  <c r="J73" i="7"/>
  <c r="I73" i="7" s="1"/>
  <c r="K72" i="7"/>
  <c r="J72" i="7"/>
  <c r="I72" i="7" s="1"/>
  <c r="K71" i="7"/>
  <c r="J71" i="7"/>
  <c r="I71" i="7"/>
  <c r="K70" i="7"/>
  <c r="J70" i="7"/>
  <c r="I70" i="7" s="1"/>
  <c r="K69" i="7"/>
  <c r="J69" i="7"/>
  <c r="I69" i="7" s="1"/>
  <c r="K68" i="7"/>
  <c r="J68" i="7"/>
  <c r="I68" i="7" s="1"/>
  <c r="K67" i="7"/>
  <c r="J67" i="7"/>
  <c r="I67" i="7"/>
  <c r="K66" i="7"/>
  <c r="J66" i="7"/>
  <c r="I66" i="7" s="1"/>
  <c r="K65" i="7"/>
  <c r="J65" i="7"/>
  <c r="I65" i="7" s="1"/>
  <c r="K64" i="7"/>
  <c r="J64" i="7"/>
  <c r="I64" i="7" s="1"/>
  <c r="K63" i="7"/>
  <c r="J63" i="7"/>
  <c r="I63" i="7"/>
  <c r="K62" i="7"/>
  <c r="J62" i="7"/>
  <c r="I62" i="7" s="1"/>
  <c r="K61" i="7"/>
  <c r="J61" i="7"/>
  <c r="I61" i="7" s="1"/>
  <c r="K60" i="7"/>
  <c r="J60" i="7"/>
  <c r="I60" i="7" s="1"/>
  <c r="K59" i="7"/>
  <c r="J59" i="7"/>
  <c r="I59" i="7"/>
  <c r="K58" i="7"/>
  <c r="J58" i="7"/>
  <c r="I58" i="7" s="1"/>
  <c r="K57" i="7"/>
  <c r="J57" i="7"/>
  <c r="I57" i="7" s="1"/>
  <c r="K56" i="7"/>
  <c r="J56" i="7"/>
  <c r="I56" i="7" s="1"/>
  <c r="K55" i="7"/>
  <c r="J55" i="7"/>
  <c r="I55" i="7"/>
  <c r="K54" i="7"/>
  <c r="J54" i="7"/>
  <c r="I54" i="7" s="1"/>
  <c r="K53" i="7"/>
  <c r="J53" i="7"/>
  <c r="I53" i="7" s="1"/>
  <c r="K52" i="7"/>
  <c r="J52" i="7"/>
  <c r="I52" i="7" s="1"/>
  <c r="K51" i="7"/>
  <c r="J51" i="7"/>
  <c r="I51" i="7"/>
  <c r="K50" i="7"/>
  <c r="J50" i="7"/>
  <c r="I50" i="7" s="1"/>
  <c r="K49" i="7"/>
  <c r="J49" i="7"/>
  <c r="I49" i="7" s="1"/>
  <c r="K48" i="7"/>
  <c r="J48" i="7"/>
  <c r="I48" i="7" s="1"/>
  <c r="K47" i="7"/>
  <c r="J47" i="7"/>
  <c r="I47" i="7" s="1"/>
  <c r="K46" i="7"/>
  <c r="J46" i="7"/>
  <c r="I46" i="7" s="1"/>
  <c r="K45" i="7"/>
  <c r="J45" i="7"/>
  <c r="I45" i="7" s="1"/>
  <c r="K44" i="7"/>
  <c r="J44" i="7"/>
  <c r="I44" i="7" s="1"/>
  <c r="K43" i="7"/>
  <c r="J43" i="7"/>
  <c r="I43" i="7" s="1"/>
  <c r="K42" i="7"/>
  <c r="J42" i="7"/>
  <c r="I42" i="7"/>
  <c r="K41" i="7"/>
  <c r="J41" i="7"/>
  <c r="I41" i="7" s="1"/>
  <c r="K40" i="7"/>
  <c r="J40" i="7"/>
  <c r="I40" i="7"/>
  <c r="K39" i="7"/>
  <c r="J39" i="7"/>
  <c r="I39" i="7" s="1"/>
  <c r="K38" i="7"/>
  <c r="J38" i="7"/>
  <c r="I38" i="7"/>
  <c r="K37" i="7"/>
  <c r="J37" i="7"/>
  <c r="I37" i="7" s="1"/>
  <c r="K36" i="7"/>
  <c r="J36" i="7"/>
  <c r="I36" i="7"/>
  <c r="K35" i="7"/>
  <c r="J35" i="7"/>
  <c r="I35" i="7"/>
  <c r="K34" i="7"/>
  <c r="J34" i="7"/>
  <c r="I34" i="7"/>
  <c r="K33" i="7"/>
  <c r="J33" i="7"/>
  <c r="I33" i="7" s="1"/>
  <c r="K32" i="7"/>
  <c r="J32" i="7"/>
  <c r="I32" i="7"/>
  <c r="K31" i="7"/>
  <c r="J31" i="7"/>
  <c r="I31" i="7" s="1"/>
  <c r="K30" i="7"/>
  <c r="J30" i="7"/>
  <c r="I30" i="7"/>
  <c r="K29" i="7"/>
  <c r="J29" i="7"/>
  <c r="I29" i="7" s="1"/>
  <c r="K28" i="7"/>
  <c r="J28" i="7"/>
  <c r="I28" i="7"/>
  <c r="K27" i="7"/>
  <c r="J27" i="7"/>
  <c r="I27" i="7" s="1"/>
  <c r="K26" i="7"/>
  <c r="J26" i="7"/>
  <c r="I26" i="7"/>
  <c r="K25" i="7"/>
  <c r="J25" i="7"/>
  <c r="I25" i="7" s="1"/>
  <c r="K24" i="7"/>
  <c r="J24" i="7"/>
  <c r="I24" i="7"/>
  <c r="K23" i="7"/>
  <c r="J23" i="7"/>
  <c r="I23" i="7"/>
  <c r="K22" i="7"/>
  <c r="J22" i="7"/>
  <c r="I22" i="7"/>
  <c r="K21" i="7"/>
  <c r="J21" i="7"/>
  <c r="I21" i="7" s="1"/>
  <c r="K20" i="7"/>
  <c r="J20" i="7"/>
  <c r="I20" i="7"/>
  <c r="K19" i="7"/>
  <c r="J19" i="7"/>
  <c r="I19" i="7"/>
  <c r="K18" i="7"/>
  <c r="J18" i="7"/>
  <c r="I18" i="7"/>
  <c r="K17" i="7"/>
  <c r="J17" i="7"/>
  <c r="I17" i="7" s="1"/>
  <c r="K16" i="7"/>
  <c r="J16" i="7"/>
  <c r="I16" i="7"/>
  <c r="K15" i="7"/>
  <c r="J15" i="7"/>
  <c r="I15" i="7" s="1"/>
  <c r="K14" i="7"/>
  <c r="J14" i="7"/>
  <c r="I14" i="7"/>
  <c r="K13" i="7"/>
  <c r="J13" i="7"/>
  <c r="I13" i="7" s="1"/>
  <c r="J12" i="7"/>
  <c r="J11" i="7"/>
  <c r="J10" i="7"/>
  <c r="J9" i="7"/>
  <c r="K8" i="7"/>
  <c r="J8" i="7"/>
  <c r="K7" i="7"/>
  <c r="J7" i="7"/>
  <c r="K6" i="7"/>
  <c r="J6" i="7"/>
  <c r="E3" i="7"/>
  <c r="E2" i="7"/>
  <c r="K299" i="1"/>
  <c r="K297" i="1"/>
  <c r="K295" i="1"/>
  <c r="K293" i="1"/>
  <c r="K291" i="1"/>
  <c r="K287" i="1"/>
  <c r="K286" i="1"/>
  <c r="K284" i="1"/>
  <c r="K282" i="1"/>
  <c r="K280" i="1"/>
  <c r="B274" i="1"/>
  <c r="K272" i="1"/>
  <c r="K271" i="1"/>
  <c r="B271" i="1"/>
  <c r="K269" i="1"/>
  <c r="K268" i="1"/>
  <c r="B268" i="1"/>
  <c r="K266" i="1"/>
  <c r="K265" i="1"/>
  <c r="B265" i="1"/>
  <c r="K263" i="1"/>
  <c r="K262" i="1"/>
  <c r="B262" i="1"/>
  <c r="K260" i="1"/>
  <c r="K259" i="1"/>
  <c r="B259" i="1"/>
  <c r="K257" i="1"/>
  <c r="K256" i="1"/>
  <c r="B256" i="1"/>
  <c r="K254" i="1"/>
  <c r="K253" i="1"/>
  <c r="B253" i="1"/>
  <c r="K251" i="1"/>
  <c r="K250" i="1"/>
  <c r="B250" i="1"/>
  <c r="K248" i="1"/>
  <c r="K247" i="1"/>
  <c r="B247" i="1"/>
  <c r="K245" i="1"/>
  <c r="K244" i="1"/>
  <c r="B244" i="1"/>
  <c r="B240" i="1"/>
  <c r="L238" i="1"/>
  <c r="K233" i="1"/>
  <c r="K232" i="1"/>
  <c r="K230" i="1"/>
  <c r="K229" i="1"/>
  <c r="K227" i="1"/>
  <c r="K226" i="1"/>
  <c r="K224" i="1"/>
  <c r="K223" i="1"/>
  <c r="K221" i="1"/>
  <c r="K220" i="1"/>
  <c r="K218" i="1"/>
  <c r="K217" i="1"/>
  <c r="K215" i="1"/>
  <c r="K214" i="1"/>
  <c r="K212" i="1"/>
  <c r="K211" i="1"/>
  <c r="K209" i="1"/>
  <c r="K208" i="1"/>
  <c r="K206" i="1"/>
  <c r="K205" i="1"/>
  <c r="K203" i="1"/>
  <c r="K202" i="1"/>
  <c r="K200" i="1"/>
  <c r="K199" i="1"/>
  <c r="K197" i="1"/>
  <c r="K196" i="1"/>
  <c r="K194" i="1"/>
  <c r="K193" i="1"/>
  <c r="K191" i="1"/>
  <c r="K190" i="1"/>
  <c r="K188" i="1"/>
  <c r="K187" i="1"/>
  <c r="K185" i="1"/>
  <c r="K184" i="1"/>
  <c r="K182" i="1"/>
  <c r="K181" i="1"/>
  <c r="K179" i="1"/>
  <c r="K178" i="1"/>
  <c r="K176" i="1"/>
  <c r="K175" i="1"/>
  <c r="K171" i="1"/>
  <c r="K170" i="1"/>
  <c r="K168" i="1"/>
  <c r="K167" i="1"/>
  <c r="K165" i="1"/>
  <c r="K164" i="1"/>
  <c r="K162" i="1"/>
  <c r="K161" i="1"/>
  <c r="K159" i="1"/>
  <c r="K158" i="1"/>
  <c r="K156" i="1"/>
  <c r="K155" i="1"/>
  <c r="K153" i="1"/>
  <c r="K152" i="1"/>
  <c r="K150" i="1"/>
  <c r="K149" i="1"/>
  <c r="K147" i="1"/>
  <c r="K146" i="1"/>
  <c r="K144" i="1"/>
  <c r="K143" i="1"/>
  <c r="K141" i="1"/>
  <c r="K140" i="1"/>
  <c r="K138" i="1"/>
  <c r="K137" i="1"/>
  <c r="K135" i="1"/>
  <c r="K134" i="1"/>
  <c r="K132" i="1"/>
  <c r="K131" i="1"/>
  <c r="N129" i="1"/>
  <c r="H129" i="1"/>
  <c r="N128" i="1"/>
  <c r="H128" i="1"/>
  <c r="K126" i="1"/>
  <c r="K124" i="1"/>
  <c r="J123" i="1"/>
  <c r="J121" i="1"/>
  <c r="M120" i="1"/>
  <c r="M119" i="1"/>
  <c r="M118" i="1"/>
  <c r="M117" i="1"/>
  <c r="M116" i="1"/>
  <c r="M115" i="1"/>
  <c r="M114" i="1"/>
  <c r="M113" i="1"/>
  <c r="M112" i="1"/>
  <c r="M111" i="1"/>
  <c r="M110" i="1"/>
  <c r="M109" i="1"/>
  <c r="M108" i="1"/>
  <c r="M107" i="1"/>
  <c r="M106" i="1"/>
  <c r="M104" i="1"/>
  <c r="J104" i="1"/>
  <c r="H104" i="1"/>
  <c r="B104" i="1"/>
  <c r="B103" i="1"/>
  <c r="K100" i="1"/>
  <c r="K99" i="1"/>
  <c r="K97" i="1"/>
  <c r="K96" i="1"/>
  <c r="K94" i="1"/>
  <c r="K93" i="1"/>
  <c r="B91" i="1"/>
  <c r="K90" i="1"/>
  <c r="B88" i="1"/>
  <c r="K87" i="1"/>
  <c r="B85" i="1"/>
  <c r="K84" i="1"/>
  <c r="B82" i="1"/>
  <c r="K81" i="1"/>
  <c r="B79" i="1"/>
  <c r="K78" i="1"/>
  <c r="K76" i="1"/>
  <c r="K75" i="1"/>
  <c r="P69" i="1"/>
  <c r="M69" i="1"/>
  <c r="T69" i="1" s="1"/>
  <c r="P68" i="1"/>
  <c r="M68" i="1"/>
  <c r="P67" i="1"/>
  <c r="M67" i="1"/>
  <c r="P66" i="1"/>
  <c r="M66" i="1"/>
  <c r="P65" i="1"/>
  <c r="M65" i="1"/>
  <c r="P64" i="1"/>
  <c r="M64" i="1"/>
  <c r="P63" i="1"/>
  <c r="M63" i="1"/>
  <c r="T63" i="1" s="1"/>
  <c r="P62" i="1"/>
  <c r="M62" i="1"/>
  <c r="T62" i="1" s="1"/>
  <c r="P61" i="1"/>
  <c r="M61" i="1"/>
  <c r="P60" i="1"/>
  <c r="M60" i="1"/>
  <c r="P59" i="1"/>
  <c r="M59" i="1"/>
  <c r="P58" i="1"/>
  <c r="M58" i="1"/>
  <c r="P57" i="1"/>
  <c r="M57" i="1"/>
  <c r="P56" i="1"/>
  <c r="M56" i="1"/>
  <c r="P55" i="1"/>
  <c r="M55" i="1"/>
  <c r="T53" i="1"/>
  <c r="P53" i="1"/>
  <c r="M53" i="1"/>
  <c r="K53" i="1"/>
  <c r="B53" i="1"/>
  <c r="M51" i="1"/>
  <c r="K47" i="1"/>
  <c r="I23" i="1"/>
  <c r="I22" i="1"/>
  <c r="I21" i="1"/>
  <c r="I20" i="1"/>
  <c r="E9" i="4" s="1"/>
  <c r="I19" i="1"/>
  <c r="AC12" i="3" s="1"/>
  <c r="I18" i="1"/>
  <c r="W81" i="3" s="1"/>
  <c r="I12" i="1"/>
  <c r="W1" i="3" s="1"/>
  <c r="I8" i="1"/>
  <c r="I7" i="1"/>
  <c r="I6" i="1"/>
  <c r="R3" i="1"/>
  <c r="I3" i="1"/>
  <c r="I5" i="4" s="1"/>
  <c r="AG59" i="8"/>
  <c r="I24" i="1" s="1"/>
  <c r="O150" i="3"/>
  <c r="N150" i="3"/>
  <c r="O149" i="3"/>
  <c r="N149" i="3"/>
  <c r="O148" i="3"/>
  <c r="N148" i="3"/>
  <c r="O147" i="3"/>
  <c r="N147" i="3"/>
  <c r="P147" i="3" s="1"/>
  <c r="O146" i="3"/>
  <c r="N146" i="3"/>
  <c r="O145" i="3"/>
  <c r="N145" i="3"/>
  <c r="O144" i="3"/>
  <c r="N144" i="3"/>
  <c r="O143" i="3"/>
  <c r="N143" i="3"/>
  <c r="P143" i="3" s="1"/>
  <c r="O142" i="3"/>
  <c r="N142" i="3"/>
  <c r="O141" i="3"/>
  <c r="N141" i="3"/>
  <c r="O140" i="3"/>
  <c r="N140" i="3"/>
  <c r="O139" i="3"/>
  <c r="N139" i="3"/>
  <c r="P139" i="3" s="1"/>
  <c r="O138" i="3"/>
  <c r="N138" i="3"/>
  <c r="O137" i="3"/>
  <c r="N137" i="3"/>
  <c r="O136" i="3"/>
  <c r="N136" i="3"/>
  <c r="O135" i="3"/>
  <c r="N135" i="3"/>
  <c r="P135" i="3" s="1"/>
  <c r="O134" i="3"/>
  <c r="N134" i="3"/>
  <c r="O133" i="3"/>
  <c r="N133" i="3"/>
  <c r="O132" i="3"/>
  <c r="N132" i="3"/>
  <c r="O131" i="3"/>
  <c r="N131" i="3"/>
  <c r="P131" i="3" s="1"/>
  <c r="O130" i="3"/>
  <c r="N130" i="3"/>
  <c r="O129" i="3"/>
  <c r="N129" i="3"/>
  <c r="O128" i="3"/>
  <c r="N128" i="3"/>
  <c r="O127" i="3"/>
  <c r="N127" i="3"/>
  <c r="P127" i="3" s="1"/>
  <c r="O126" i="3"/>
  <c r="N126" i="3"/>
  <c r="O125" i="3"/>
  <c r="N125" i="3"/>
  <c r="O124" i="3"/>
  <c r="N124" i="3"/>
  <c r="O123" i="3"/>
  <c r="N123" i="3"/>
  <c r="P123" i="3" s="1"/>
  <c r="O122" i="3"/>
  <c r="N122" i="3"/>
  <c r="O121" i="3"/>
  <c r="N121" i="3"/>
  <c r="O120" i="3"/>
  <c r="N120" i="3"/>
  <c r="O119" i="3"/>
  <c r="N119" i="3"/>
  <c r="P119" i="3" s="1"/>
  <c r="O118" i="3"/>
  <c r="N118" i="3"/>
  <c r="O117" i="3"/>
  <c r="N117" i="3"/>
  <c r="O116" i="3"/>
  <c r="N116" i="3"/>
  <c r="O115" i="3"/>
  <c r="N115" i="3"/>
  <c r="P115" i="3" s="1"/>
  <c r="O114" i="3"/>
  <c r="N114" i="3"/>
  <c r="O113" i="3"/>
  <c r="N113" i="3"/>
  <c r="O112" i="3"/>
  <c r="N112" i="3"/>
  <c r="O111" i="3"/>
  <c r="N111" i="3"/>
  <c r="P111" i="3" s="1"/>
  <c r="O110" i="3"/>
  <c r="N110" i="3"/>
  <c r="O109" i="3"/>
  <c r="N109" i="3"/>
  <c r="O108" i="3"/>
  <c r="N108" i="3"/>
  <c r="O107" i="3"/>
  <c r="N107" i="3"/>
  <c r="P107" i="3" s="1"/>
  <c r="O106" i="3"/>
  <c r="N106" i="3"/>
  <c r="O105" i="3"/>
  <c r="N105" i="3"/>
  <c r="O104" i="3"/>
  <c r="N104" i="3"/>
  <c r="O103" i="3"/>
  <c r="N103" i="3"/>
  <c r="P103" i="3" s="1"/>
  <c r="O102" i="3"/>
  <c r="N102" i="3"/>
  <c r="O101" i="3"/>
  <c r="N101" i="3"/>
  <c r="O100" i="3"/>
  <c r="N100" i="3"/>
  <c r="O99" i="3"/>
  <c r="N99" i="3"/>
  <c r="P99" i="3" s="1"/>
  <c r="H101" i="7" s="1"/>
  <c r="O98" i="3"/>
  <c r="N98" i="3"/>
  <c r="O97" i="3"/>
  <c r="N97" i="3"/>
  <c r="O96" i="3"/>
  <c r="N96" i="3"/>
  <c r="O95" i="3"/>
  <c r="N95" i="3"/>
  <c r="P95" i="3" s="1"/>
  <c r="H97" i="7" s="1"/>
  <c r="O94" i="3"/>
  <c r="N94" i="3"/>
  <c r="O93" i="3"/>
  <c r="N93" i="3"/>
  <c r="O92" i="3"/>
  <c r="N92" i="3"/>
  <c r="O91" i="3"/>
  <c r="N91" i="3"/>
  <c r="P91" i="3" s="1"/>
  <c r="H93" i="7" s="1"/>
  <c r="O90" i="3"/>
  <c r="N90" i="3"/>
  <c r="O89" i="3"/>
  <c r="N89" i="3"/>
  <c r="O88" i="3"/>
  <c r="N88" i="3"/>
  <c r="O87" i="3"/>
  <c r="N87" i="3"/>
  <c r="P87" i="3" s="1"/>
  <c r="H89" i="7" s="1"/>
  <c r="O86" i="3"/>
  <c r="N86" i="3"/>
  <c r="O85" i="3"/>
  <c r="N85" i="3"/>
  <c r="W84" i="3"/>
  <c r="O84" i="3"/>
  <c r="N84" i="3"/>
  <c r="P84" i="3" s="1"/>
  <c r="H86" i="7" s="1"/>
  <c r="O83" i="3"/>
  <c r="N83" i="3"/>
  <c r="O82" i="3"/>
  <c r="N82" i="3"/>
  <c r="P82" i="3" s="1"/>
  <c r="H84" i="7" s="1"/>
  <c r="O81" i="3"/>
  <c r="N81" i="3"/>
  <c r="O80" i="3"/>
  <c r="N80" i="3"/>
  <c r="O79" i="3"/>
  <c r="N79" i="3"/>
  <c r="O78" i="3"/>
  <c r="N78" i="3"/>
  <c r="O77" i="3"/>
  <c r="N77" i="3"/>
  <c r="O76" i="3"/>
  <c r="N76" i="3"/>
  <c r="P76" i="3" s="1"/>
  <c r="H78" i="7" s="1"/>
  <c r="O75" i="3"/>
  <c r="N75" i="3"/>
  <c r="O74" i="3"/>
  <c r="N74" i="3"/>
  <c r="O73" i="3"/>
  <c r="N73" i="3"/>
  <c r="O72" i="3"/>
  <c r="N72" i="3"/>
  <c r="P72" i="3" s="1"/>
  <c r="H74" i="7" s="1"/>
  <c r="O71" i="3"/>
  <c r="N71" i="3"/>
  <c r="W70" i="3"/>
  <c r="O70" i="3"/>
  <c r="N70" i="3"/>
  <c r="O69" i="3"/>
  <c r="N69" i="3"/>
  <c r="O68" i="3"/>
  <c r="N68" i="3"/>
  <c r="O67" i="3"/>
  <c r="N67" i="3"/>
  <c r="O66" i="3"/>
  <c r="N66" i="3"/>
  <c r="X65" i="3"/>
  <c r="O65" i="3"/>
  <c r="N65" i="3"/>
  <c r="O64" i="3"/>
  <c r="N64" i="3"/>
  <c r="O63" i="3"/>
  <c r="N63" i="3"/>
  <c r="O62" i="3"/>
  <c r="N62" i="3"/>
  <c r="W61" i="3"/>
  <c r="W62" i="3" s="1"/>
  <c r="W25" i="3" s="1"/>
  <c r="O61" i="3"/>
  <c r="N61" i="3"/>
  <c r="W60" i="3"/>
  <c r="I61" i="4" s="1"/>
  <c r="O60" i="3"/>
  <c r="N60" i="3"/>
  <c r="O59" i="3"/>
  <c r="N59" i="3"/>
  <c r="P59" i="3" s="1"/>
  <c r="H61" i="7" s="1"/>
  <c r="O58" i="3"/>
  <c r="N58" i="3"/>
  <c r="W57" i="3"/>
  <c r="O57" i="3"/>
  <c r="N57" i="3"/>
  <c r="W56" i="3"/>
  <c r="I29" i="4" s="1"/>
  <c r="O56" i="3"/>
  <c r="N56" i="3"/>
  <c r="P56" i="3" s="1"/>
  <c r="H58" i="7" s="1"/>
  <c r="W55" i="3"/>
  <c r="I28" i="4" s="1"/>
  <c r="O55" i="3"/>
  <c r="N55" i="3"/>
  <c r="O54" i="3"/>
  <c r="N54" i="3"/>
  <c r="O53" i="3"/>
  <c r="N53" i="3"/>
  <c r="O52" i="3"/>
  <c r="N52" i="3"/>
  <c r="W51" i="3"/>
  <c r="I24" i="4" s="1"/>
  <c r="O51" i="3"/>
  <c r="N51" i="3"/>
  <c r="W50" i="3"/>
  <c r="W49" i="3"/>
  <c r="W68" i="3" s="1"/>
  <c r="Y68" i="3" s="1"/>
  <c r="O48" i="3"/>
  <c r="N48" i="3"/>
  <c r="O47" i="3"/>
  <c r="N47" i="3"/>
  <c r="W46" i="3"/>
  <c r="I21" i="4" s="1"/>
  <c r="O46" i="3"/>
  <c r="N46" i="3"/>
  <c r="P46" i="3" s="1"/>
  <c r="H50" i="7" s="1"/>
  <c r="O45" i="3"/>
  <c r="N45" i="3"/>
  <c r="W44" i="3"/>
  <c r="I19" i="4" s="1"/>
  <c r="O44" i="3"/>
  <c r="N44" i="3"/>
  <c r="O43" i="3"/>
  <c r="N43" i="3"/>
  <c r="P43" i="3" s="1"/>
  <c r="H47" i="7" s="1"/>
  <c r="W42" i="3"/>
  <c r="I17" i="4" s="1"/>
  <c r="O42" i="3"/>
  <c r="N42" i="3"/>
  <c r="W41" i="3"/>
  <c r="I16" i="4" s="1"/>
  <c r="O41" i="3"/>
  <c r="N41" i="3"/>
  <c r="O40" i="3"/>
  <c r="N40" i="3"/>
  <c r="W39" i="3"/>
  <c r="I14" i="4" s="1"/>
  <c r="O39" i="3"/>
  <c r="N39" i="3"/>
  <c r="O38" i="3"/>
  <c r="N38" i="3"/>
  <c r="P38" i="3" s="1"/>
  <c r="H42" i="7" s="1"/>
  <c r="W37" i="3"/>
  <c r="O37" i="3"/>
  <c r="N37" i="3"/>
  <c r="P37" i="3" s="1"/>
  <c r="H41" i="7" s="1"/>
  <c r="W36" i="3"/>
  <c r="O36" i="3"/>
  <c r="N36" i="3"/>
  <c r="W35" i="3"/>
  <c r="O35" i="3"/>
  <c r="N35" i="3"/>
  <c r="P35" i="3" s="1"/>
  <c r="H39" i="7" s="1"/>
  <c r="W34" i="3"/>
  <c r="O34" i="3"/>
  <c r="N34" i="3"/>
  <c r="P34" i="3" s="1"/>
  <c r="H38" i="7" s="1"/>
  <c r="W33" i="3"/>
  <c r="O33" i="3"/>
  <c r="N33" i="3"/>
  <c r="W32" i="3"/>
  <c r="O32" i="3"/>
  <c r="N32" i="3"/>
  <c r="P32" i="3" s="1"/>
  <c r="H36" i="7" s="1"/>
  <c r="W31" i="3"/>
  <c r="O31" i="3"/>
  <c r="N31" i="3"/>
  <c r="P31" i="3" s="1"/>
  <c r="H35" i="7" s="1"/>
  <c r="AA30" i="3"/>
  <c r="W30" i="3"/>
  <c r="O30" i="3"/>
  <c r="N30" i="3"/>
  <c r="W29" i="3"/>
  <c r="O29" i="3"/>
  <c r="N29" i="3"/>
  <c r="Z28" i="3"/>
  <c r="W28" i="3"/>
  <c r="O28" i="3"/>
  <c r="N28" i="3"/>
  <c r="W27" i="3"/>
  <c r="O27" i="3"/>
  <c r="N27" i="3"/>
  <c r="W26" i="3"/>
  <c r="O26" i="3"/>
  <c r="N26" i="3"/>
  <c r="O25" i="3"/>
  <c r="N25" i="3"/>
  <c r="W24" i="3"/>
  <c r="O24" i="3"/>
  <c r="N24" i="3"/>
  <c r="O23" i="3"/>
  <c r="N23" i="3"/>
  <c r="P23" i="3" s="1"/>
  <c r="H27" i="7" s="1"/>
  <c r="O22" i="3"/>
  <c r="N22" i="3"/>
  <c r="O21" i="3"/>
  <c r="N21" i="3"/>
  <c r="O20" i="3"/>
  <c r="N20" i="3"/>
  <c r="O19" i="3"/>
  <c r="N19" i="3"/>
  <c r="P19" i="3" s="1"/>
  <c r="H23" i="7" s="1"/>
  <c r="O18" i="3"/>
  <c r="N18" i="3"/>
  <c r="AD17" i="3"/>
  <c r="W17" i="3"/>
  <c r="O17" i="3"/>
  <c r="N17" i="3"/>
  <c r="O16" i="3"/>
  <c r="N16" i="3"/>
  <c r="O15" i="3"/>
  <c r="N15" i="3"/>
  <c r="AC14" i="3"/>
  <c r="O14" i="3"/>
  <c r="N14" i="3"/>
  <c r="S13" i="3"/>
  <c r="T13" i="3" s="1"/>
  <c r="O13" i="3"/>
  <c r="N13" i="3"/>
  <c r="S12" i="3"/>
  <c r="T12" i="3" s="1"/>
  <c r="O12" i="3"/>
  <c r="N12" i="3"/>
  <c r="S11" i="3"/>
  <c r="T11" i="3" s="1"/>
  <c r="O11" i="3"/>
  <c r="N11" i="3"/>
  <c r="P11" i="3" s="1"/>
  <c r="H15" i="7" s="1"/>
  <c r="X10" i="3"/>
  <c r="W10" i="3"/>
  <c r="S10" i="3"/>
  <c r="T10" i="3" s="1"/>
  <c r="O10" i="3"/>
  <c r="N10" i="3"/>
  <c r="X9" i="3"/>
  <c r="W9" i="3"/>
  <c r="S9" i="3"/>
  <c r="T9" i="3" s="1"/>
  <c r="O9" i="3"/>
  <c r="N9" i="3"/>
  <c r="P9" i="3" s="1"/>
  <c r="H13" i="7" s="1"/>
  <c r="AC8" i="3"/>
  <c r="AC9" i="3" s="1"/>
  <c r="X8" i="3"/>
  <c r="W8" i="3"/>
  <c r="S8" i="3"/>
  <c r="T8" i="3" s="1"/>
  <c r="O8" i="3"/>
  <c r="N8" i="3"/>
  <c r="W7" i="3"/>
  <c r="S7" i="3"/>
  <c r="T7" i="3" s="1"/>
  <c r="O7" i="3"/>
  <c r="N7" i="3"/>
  <c r="W6" i="3"/>
  <c r="S6" i="3"/>
  <c r="T6" i="3" s="1"/>
  <c r="O6" i="3"/>
  <c r="N6" i="3"/>
  <c r="S5" i="3"/>
  <c r="T5" i="3" s="1"/>
  <c r="O5" i="3"/>
  <c r="N5" i="3"/>
  <c r="AA4" i="3"/>
  <c r="W4" i="3"/>
  <c r="S4" i="3"/>
  <c r="T4" i="3" s="1"/>
  <c r="O4" i="3"/>
  <c r="N4" i="3"/>
  <c r="W3" i="3"/>
  <c r="S3" i="3"/>
  <c r="T3" i="3" s="1"/>
  <c r="O3" i="3"/>
  <c r="N3" i="3"/>
  <c r="W2" i="3"/>
  <c r="S2" i="3"/>
  <c r="T2" i="3" s="1"/>
  <c r="O2" i="3"/>
  <c r="N2" i="3"/>
  <c r="AE1" i="3"/>
  <c r="T67" i="1" l="1"/>
  <c r="T66" i="1"/>
  <c r="T64" i="1"/>
  <c r="T61" i="1"/>
  <c r="T68" i="1"/>
  <c r="T65" i="1"/>
  <c r="T59" i="1"/>
  <c r="P2" i="3"/>
  <c r="H6" i="7" s="1"/>
  <c r="P4" i="3"/>
  <c r="H8" i="7" s="1"/>
  <c r="P6" i="3"/>
  <c r="H10" i="7" s="1"/>
  <c r="P7" i="3"/>
  <c r="H11" i="7" s="1"/>
  <c r="P8" i="3"/>
  <c r="H12" i="7" s="1"/>
  <c r="P10" i="3"/>
  <c r="H14" i="7" s="1"/>
  <c r="P12" i="3"/>
  <c r="H16" i="7" s="1"/>
  <c r="P13" i="3"/>
  <c r="H17" i="7" s="1"/>
  <c r="P14" i="3"/>
  <c r="H18" i="7" s="1"/>
  <c r="P15" i="3"/>
  <c r="H19" i="7" s="1"/>
  <c r="P16" i="3"/>
  <c r="H20" i="7" s="1"/>
  <c r="P17" i="3"/>
  <c r="H21" i="7" s="1"/>
  <c r="P18" i="3"/>
  <c r="H22" i="7" s="1"/>
  <c r="P20" i="3"/>
  <c r="H24" i="7" s="1"/>
  <c r="P21" i="3"/>
  <c r="H25" i="7" s="1"/>
  <c r="P22" i="3"/>
  <c r="H26" i="7" s="1"/>
  <c r="P24" i="3"/>
  <c r="H28" i="7" s="1"/>
  <c r="P25" i="3"/>
  <c r="H29" i="7" s="1"/>
  <c r="P26" i="3"/>
  <c r="H30" i="7" s="1"/>
  <c r="P28" i="3"/>
  <c r="H32" i="7" s="1"/>
  <c r="P30" i="3"/>
  <c r="H34" i="7" s="1"/>
  <c r="P33" i="3"/>
  <c r="H37" i="7" s="1"/>
  <c r="P36" i="3"/>
  <c r="H40" i="7" s="1"/>
  <c r="P39" i="3"/>
  <c r="H43" i="7" s="1"/>
  <c r="P41" i="3"/>
  <c r="H45" i="7" s="1"/>
  <c r="P44" i="3"/>
  <c r="H48" i="7" s="1"/>
  <c r="P47" i="3"/>
  <c r="H51" i="7" s="1"/>
  <c r="P48" i="3"/>
  <c r="H52" i="7" s="1"/>
  <c r="P53" i="3"/>
  <c r="H55" i="7" s="1"/>
  <c r="P54" i="3"/>
  <c r="H56" i="7" s="1"/>
  <c r="P55" i="3"/>
  <c r="H57" i="7" s="1"/>
  <c r="P57" i="3"/>
  <c r="H59" i="7" s="1"/>
  <c r="I30" i="4"/>
  <c r="W69" i="3"/>
  <c r="P58" i="3"/>
  <c r="H60" i="7" s="1"/>
  <c r="P60" i="3"/>
  <c r="H62" i="7" s="1"/>
  <c r="P61" i="3"/>
  <c r="H63" i="7" s="1"/>
  <c r="P63" i="3"/>
  <c r="H65" i="7" s="1"/>
  <c r="P64" i="3"/>
  <c r="H66" i="7" s="1"/>
  <c r="P65" i="3"/>
  <c r="H67" i="7" s="1"/>
  <c r="P66" i="3"/>
  <c r="H68" i="7" s="1"/>
  <c r="P67" i="3"/>
  <c r="H69" i="7" s="1"/>
  <c r="P68" i="3"/>
  <c r="H70" i="7" s="1"/>
  <c r="P69" i="3"/>
  <c r="H71" i="7" s="1"/>
  <c r="P70" i="3"/>
  <c r="H72" i="7" s="1"/>
  <c r="P71" i="3"/>
  <c r="H73" i="7" s="1"/>
  <c r="P73" i="3"/>
  <c r="H75" i="7" s="1"/>
  <c r="P74" i="3"/>
  <c r="H76" i="7" s="1"/>
  <c r="P75" i="3"/>
  <c r="H77" i="7" s="1"/>
  <c r="P77" i="3"/>
  <c r="H79" i="7" s="1"/>
  <c r="P78" i="3"/>
  <c r="H80" i="7" s="1"/>
  <c r="P79" i="3"/>
  <c r="H81" i="7" s="1"/>
  <c r="P80" i="3"/>
  <c r="H82" i="7" s="1"/>
  <c r="P81" i="3"/>
  <c r="H83" i="7" s="1"/>
  <c r="P83" i="3"/>
  <c r="H85" i="7" s="1"/>
  <c r="P85" i="3"/>
  <c r="H87" i="7" s="1"/>
  <c r="P86" i="3"/>
  <c r="H88" i="7" s="1"/>
  <c r="P88" i="3"/>
  <c r="H90" i="7" s="1"/>
  <c r="P89" i="3"/>
  <c r="H91" i="7" s="1"/>
  <c r="P90" i="3"/>
  <c r="H92" i="7" s="1"/>
  <c r="P92" i="3"/>
  <c r="H94" i="7" s="1"/>
  <c r="P93" i="3"/>
  <c r="H95" i="7" s="1"/>
  <c r="P94" i="3"/>
  <c r="H96" i="7" s="1"/>
  <c r="P96" i="3"/>
  <c r="H98" i="7" s="1"/>
  <c r="P97" i="3"/>
  <c r="H99" i="7" s="1"/>
  <c r="P98" i="3"/>
  <c r="H100" i="7" s="1"/>
  <c r="P100" i="3"/>
  <c r="H102" i="7" s="1"/>
  <c r="P101" i="3"/>
  <c r="H103" i="7" s="1"/>
  <c r="P102" i="3"/>
  <c r="H104" i="7" s="1"/>
  <c r="P104" i="3"/>
  <c r="P105" i="3"/>
  <c r="P106" i="3"/>
  <c r="P108" i="3"/>
  <c r="P109" i="3"/>
  <c r="P110" i="3"/>
  <c r="P112" i="3"/>
  <c r="P113" i="3"/>
  <c r="P114" i="3"/>
  <c r="P116" i="3"/>
  <c r="P117" i="3"/>
  <c r="P118" i="3"/>
  <c r="P120" i="3"/>
  <c r="P121" i="3"/>
  <c r="P122" i="3"/>
  <c r="P124" i="3"/>
  <c r="P125" i="3"/>
  <c r="P126" i="3"/>
  <c r="P128" i="3"/>
  <c r="P129" i="3"/>
  <c r="P130" i="3"/>
  <c r="P132" i="3"/>
  <c r="P133" i="3"/>
  <c r="P134" i="3"/>
  <c r="P136" i="3"/>
  <c r="P137" i="3"/>
  <c r="P138" i="3"/>
  <c r="P140" i="3"/>
  <c r="P141" i="3"/>
  <c r="P142" i="3"/>
  <c r="P144" i="3"/>
  <c r="P145" i="3"/>
  <c r="P146" i="3"/>
  <c r="P148" i="3"/>
  <c r="P149" i="3"/>
  <c r="P150" i="3"/>
  <c r="B99" i="1"/>
  <c r="B174" i="1"/>
  <c r="G43" i="1"/>
  <c r="B41" i="1"/>
  <c r="B40" i="1"/>
  <c r="M39" i="1"/>
  <c r="J39" i="1"/>
  <c r="H39" i="1"/>
  <c r="B39" i="1"/>
  <c r="B36" i="1"/>
  <c r="N33" i="1"/>
  <c r="M33" i="1"/>
  <c r="L33" i="1"/>
  <c r="H33" i="1"/>
  <c r="F33" i="1"/>
  <c r="E33" i="1"/>
  <c r="B32" i="1"/>
  <c r="C30" i="1"/>
  <c r="C15" i="1"/>
  <c r="C14" i="1"/>
  <c r="O103" i="7"/>
  <c r="R103" i="7" s="1"/>
  <c r="S103" i="7" s="1"/>
  <c r="O105" i="7"/>
  <c r="R105" i="7" s="1"/>
  <c r="S105" i="7" s="1"/>
  <c r="O24" i="7"/>
  <c r="R24" i="7" s="1"/>
  <c r="S24" i="7" s="1"/>
  <c r="O23" i="7"/>
  <c r="O12" i="7"/>
  <c r="R12" i="7" s="1"/>
  <c r="S12" i="7" s="1"/>
  <c r="O11" i="7"/>
  <c r="R11" i="7" s="1"/>
  <c r="S11" i="7" s="1"/>
  <c r="O9" i="7"/>
  <c r="R9" i="7" s="1"/>
  <c r="S9" i="7" s="1"/>
  <c r="M73" i="4"/>
  <c r="W78" i="3" s="1"/>
  <c r="Y10" i="3"/>
  <c r="Y8" i="3"/>
  <c r="T14" i="3"/>
  <c r="S14" i="3" s="1"/>
  <c r="O13" i="7"/>
  <c r="O15" i="7"/>
  <c r="R15" i="7" s="1"/>
  <c r="S15" i="7" s="1"/>
  <c r="O16" i="7"/>
  <c r="O19" i="7"/>
  <c r="P19" i="7" s="1"/>
  <c r="Q19" i="7" s="1"/>
  <c r="O20" i="7"/>
  <c r="O21" i="7"/>
  <c r="P21" i="7" s="1"/>
  <c r="Q21" i="7" s="1"/>
  <c r="O27" i="7"/>
  <c r="O28" i="7"/>
  <c r="O46" i="7"/>
  <c r="R46" i="7" s="1"/>
  <c r="S46" i="7" s="1"/>
  <c r="O49" i="7"/>
  <c r="R49" i="7" s="1"/>
  <c r="S49" i="7" s="1"/>
  <c r="O7" i="7"/>
  <c r="P7" i="7" s="1"/>
  <c r="Q7" i="7" s="1"/>
  <c r="O17" i="7"/>
  <c r="P17" i="7" s="1"/>
  <c r="Q17" i="7" s="1"/>
  <c r="O29" i="7"/>
  <c r="O31" i="7"/>
  <c r="R31" i="7" s="1"/>
  <c r="S31" i="7" s="1"/>
  <c r="O32" i="7"/>
  <c r="O35" i="7"/>
  <c r="P35" i="7" s="1"/>
  <c r="Q35" i="7" s="1"/>
  <c r="O36" i="7"/>
  <c r="O37" i="7"/>
  <c r="O39" i="7"/>
  <c r="R39" i="7" s="1"/>
  <c r="S39" i="7" s="1"/>
  <c r="O45" i="7"/>
  <c r="R45" i="7" s="1"/>
  <c r="S45" i="7" s="1"/>
  <c r="O48" i="7"/>
  <c r="P48" i="7" s="1"/>
  <c r="Q48" i="7" s="1"/>
  <c r="O25" i="7"/>
  <c r="P25" i="7" s="1"/>
  <c r="Q25" i="7" s="1"/>
  <c r="O33" i="7"/>
  <c r="P33" i="7" s="1"/>
  <c r="Q33" i="7" s="1"/>
  <c r="O40" i="7"/>
  <c r="O41" i="7"/>
  <c r="R41" i="7" s="1"/>
  <c r="S41" i="7" s="1"/>
  <c r="AC11" i="3"/>
  <c r="Y84" i="3" s="1"/>
  <c r="P3" i="3"/>
  <c r="H7" i="7" s="1"/>
  <c r="P40" i="3"/>
  <c r="H44" i="7" s="1"/>
  <c r="B33" i="1"/>
  <c r="F39" i="1"/>
  <c r="E53" i="1"/>
  <c r="R23" i="7"/>
  <c r="S23" i="7" s="1"/>
  <c r="P23" i="7"/>
  <c r="Q23" i="7" s="1"/>
  <c r="Y9" i="3"/>
  <c r="W48" i="3"/>
  <c r="I23" i="4" s="1"/>
  <c r="AA21" i="3" s="1"/>
  <c r="AB21" i="3" s="1"/>
  <c r="R101" i="4" s="1"/>
  <c r="M42" i="1"/>
  <c r="E39" i="1"/>
  <c r="K33" i="1"/>
  <c r="C29" i="1"/>
  <c r="B42" i="1"/>
  <c r="D39" i="1"/>
  <c r="J33" i="1"/>
  <c r="B28" i="1"/>
  <c r="M41" i="1"/>
  <c r="C39" i="1"/>
  <c r="I33" i="1"/>
  <c r="B173" i="1"/>
  <c r="H53" i="1"/>
  <c r="M40" i="1"/>
  <c r="B38" i="1"/>
  <c r="G33" i="1"/>
  <c r="B70" i="1"/>
  <c r="B51" i="1"/>
  <c r="I39" i="1"/>
  <c r="O33" i="1"/>
  <c r="C33" i="1"/>
  <c r="C16" i="1"/>
  <c r="D33" i="1"/>
  <c r="G39" i="1"/>
  <c r="R35" i="7"/>
  <c r="S35" i="7" s="1"/>
  <c r="P51" i="3"/>
  <c r="H53" i="7" s="1"/>
  <c r="W58" i="3"/>
  <c r="P24" i="7"/>
  <c r="Q24" i="7" s="1"/>
  <c r="P45" i="3"/>
  <c r="H49" i="7" s="1"/>
  <c r="P62" i="3"/>
  <c r="H64" i="7" s="1"/>
  <c r="P42" i="3"/>
  <c r="H46" i="7" s="1"/>
  <c r="P29" i="3"/>
  <c r="H33" i="7" s="1"/>
  <c r="P52" i="3"/>
  <c r="H54" i="7" s="1"/>
  <c r="P27" i="3"/>
  <c r="H31" i="7" s="1"/>
  <c r="AC17" i="3"/>
  <c r="B34" i="1"/>
  <c r="G44" i="1"/>
  <c r="P45" i="7"/>
  <c r="Q45" i="7" s="1"/>
  <c r="Y69" i="3"/>
  <c r="M80" i="4" s="1"/>
  <c r="Y70" i="3"/>
  <c r="M81" i="4" s="1"/>
  <c r="R27" i="7"/>
  <c r="S27" i="7" s="1"/>
  <c r="P27" i="7"/>
  <c r="Q27" i="7" s="1"/>
  <c r="O5" i="9"/>
  <c r="S5" i="4"/>
  <c r="B35" i="1"/>
  <c r="O6" i="7"/>
  <c r="P41" i="7"/>
  <c r="Q41" i="7" s="1"/>
  <c r="R48" i="7"/>
  <c r="S48" i="7" s="1"/>
  <c r="O44" i="7"/>
  <c r="O47" i="7"/>
  <c r="O50" i="7"/>
  <c r="O54" i="7"/>
  <c r="O58" i="7"/>
  <c r="O62" i="7"/>
  <c r="O66" i="7"/>
  <c r="O70" i="7"/>
  <c r="O74" i="7"/>
  <c r="O78" i="7"/>
  <c r="O82" i="7"/>
  <c r="O86" i="7"/>
  <c r="O90" i="7"/>
  <c r="O94" i="7"/>
  <c r="O98" i="7"/>
  <c r="O102" i="7"/>
  <c r="O43" i="7"/>
  <c r="O53" i="7"/>
  <c r="O57" i="7"/>
  <c r="O61" i="7"/>
  <c r="O65" i="7"/>
  <c r="O69" i="7"/>
  <c r="O73" i="7"/>
  <c r="O77" i="7"/>
  <c r="O81" i="7"/>
  <c r="O85" i="7"/>
  <c r="O89" i="7"/>
  <c r="O93" i="7"/>
  <c r="O97" i="7"/>
  <c r="O101" i="7"/>
  <c r="P105" i="7"/>
  <c r="Q105" i="7" s="1"/>
  <c r="F2" i="7"/>
  <c r="K6" i="4" s="1"/>
  <c r="O8" i="7"/>
  <c r="P39" i="7"/>
  <c r="Q39" i="7" s="1"/>
  <c r="P46" i="7"/>
  <c r="Q46" i="7" s="1"/>
  <c r="P49" i="7"/>
  <c r="Q49" i="7" s="1"/>
  <c r="O52" i="7"/>
  <c r="O56" i="7"/>
  <c r="O60" i="7"/>
  <c r="O64" i="7"/>
  <c r="O68" i="7"/>
  <c r="O72" i="7"/>
  <c r="O76" i="7"/>
  <c r="O80" i="7"/>
  <c r="O84" i="7"/>
  <c r="O88" i="7"/>
  <c r="O92" i="7"/>
  <c r="O96" i="7"/>
  <c r="O100" i="7"/>
  <c r="O104" i="7"/>
  <c r="O10" i="7"/>
  <c r="O14" i="7"/>
  <c r="O18" i="7"/>
  <c r="O22" i="7"/>
  <c r="O26" i="7"/>
  <c r="O30" i="7"/>
  <c r="O34" i="7"/>
  <c r="O38" i="7"/>
  <c r="O42" i="7"/>
  <c r="O51" i="7"/>
  <c r="O55" i="7"/>
  <c r="O59" i="7"/>
  <c r="O63" i="7"/>
  <c r="O67" i="7"/>
  <c r="O71" i="7"/>
  <c r="O75" i="7"/>
  <c r="O79" i="7"/>
  <c r="O83" i="7"/>
  <c r="O87" i="7"/>
  <c r="O91" i="7"/>
  <c r="O95" i="7"/>
  <c r="O99" i="7"/>
  <c r="E5" i="9"/>
  <c r="P5" i="3"/>
  <c r="H9" i="7" s="1"/>
  <c r="W66" i="3"/>
  <c r="Y66" i="3" s="1"/>
  <c r="M77" i="4" s="1"/>
  <c r="M79" i="4"/>
  <c r="M121" i="1"/>
  <c r="W47" i="3" s="1"/>
  <c r="I22" i="4" s="1"/>
  <c r="T55" i="1"/>
  <c r="T60" i="1"/>
  <c r="T58" i="1"/>
  <c r="T57" i="1"/>
  <c r="T56" i="1"/>
  <c r="P70" i="1"/>
  <c r="M70" i="1"/>
  <c r="AB24" i="3"/>
  <c r="R113" i="4" s="1"/>
  <c r="AA24" i="3"/>
  <c r="N113" i="4" s="1"/>
  <c r="I54" i="4"/>
  <c r="I50" i="4"/>
  <c r="I46" i="4"/>
  <c r="I42" i="4"/>
  <c r="I43" i="4"/>
  <c r="I53" i="4"/>
  <c r="I49" i="4"/>
  <c r="I45" i="4"/>
  <c r="AD12" i="3"/>
  <c r="I52" i="4"/>
  <c r="I48" i="4"/>
  <c r="I44" i="4"/>
  <c r="I51" i="4"/>
  <c r="I47" i="4"/>
  <c r="AD14" i="3"/>
  <c r="I7" i="7" l="1"/>
  <c r="P12" i="7"/>
  <c r="Q12" i="7" s="1"/>
  <c r="I12" i="7" s="1"/>
  <c r="K12" i="7" s="1"/>
  <c r="W45" i="3" s="1"/>
  <c r="I20" i="4" s="1"/>
  <c r="P11" i="7"/>
  <c r="Q11" i="7" s="1"/>
  <c r="I11" i="7" s="1"/>
  <c r="K11" i="7" s="1"/>
  <c r="W40" i="3" s="1"/>
  <c r="I15" i="4" s="1"/>
  <c r="P15" i="7"/>
  <c r="Q15" i="7" s="1"/>
  <c r="R33" i="7"/>
  <c r="S33" i="7" s="1"/>
  <c r="R7" i="7"/>
  <c r="S7" i="7" s="1"/>
  <c r="R25" i="7"/>
  <c r="S25" i="7" s="1"/>
  <c r="P31" i="7"/>
  <c r="Q31" i="7" s="1"/>
  <c r="R21" i="7"/>
  <c r="S21" i="7" s="1"/>
  <c r="P9" i="7"/>
  <c r="Q9" i="7" s="1"/>
  <c r="I9" i="7" s="1"/>
  <c r="K9" i="7" s="1"/>
  <c r="R17" i="7"/>
  <c r="S17" i="7" s="1"/>
  <c r="R19" i="7"/>
  <c r="S19" i="7" s="1"/>
  <c r="P103" i="7"/>
  <c r="Q103" i="7" s="1"/>
  <c r="P37" i="7"/>
  <c r="Q37" i="7" s="1"/>
  <c r="R37" i="7"/>
  <c r="S37" i="7" s="1"/>
  <c r="R36" i="7"/>
  <c r="S36" i="7" s="1"/>
  <c r="P36" i="7"/>
  <c r="Q36" i="7" s="1"/>
  <c r="P29" i="7"/>
  <c r="Q29" i="7" s="1"/>
  <c r="R29" i="7"/>
  <c r="S29" i="7" s="1"/>
  <c r="R20" i="7"/>
  <c r="S20" i="7" s="1"/>
  <c r="P20" i="7"/>
  <c r="Q20" i="7" s="1"/>
  <c r="P13" i="7"/>
  <c r="Q13" i="7" s="1"/>
  <c r="R13" i="7"/>
  <c r="S13" i="7" s="1"/>
  <c r="R40" i="7"/>
  <c r="S40" i="7" s="1"/>
  <c r="P40" i="7"/>
  <c r="Q40" i="7" s="1"/>
  <c r="R28" i="7"/>
  <c r="S28" i="7" s="1"/>
  <c r="P28" i="7"/>
  <c r="Q28" i="7" s="1"/>
  <c r="P32" i="7"/>
  <c r="Q32" i="7" s="1"/>
  <c r="R32" i="7"/>
  <c r="S32" i="7" s="1"/>
  <c r="R16" i="7"/>
  <c r="S16" i="7" s="1"/>
  <c r="P16" i="7"/>
  <c r="Q16" i="7" s="1"/>
  <c r="R18" i="7"/>
  <c r="S18" i="7" s="1"/>
  <c r="P18" i="7"/>
  <c r="Q18" i="7" s="1"/>
  <c r="R67" i="7"/>
  <c r="S67" i="7" s="1"/>
  <c r="P67" i="7"/>
  <c r="Q67" i="7" s="1"/>
  <c r="R14" i="7"/>
  <c r="S14" i="7" s="1"/>
  <c r="P14" i="7"/>
  <c r="Q14" i="7" s="1"/>
  <c r="R64" i="7"/>
  <c r="S64" i="7" s="1"/>
  <c r="P64" i="7"/>
  <c r="Q64" i="7" s="1"/>
  <c r="R93" i="7"/>
  <c r="S93" i="7" s="1"/>
  <c r="P93" i="7"/>
  <c r="Q93" i="7" s="1"/>
  <c r="R102" i="7"/>
  <c r="S102" i="7" s="1"/>
  <c r="P102" i="7"/>
  <c r="Q102" i="7" s="1"/>
  <c r="R54" i="7"/>
  <c r="S54" i="7" s="1"/>
  <c r="P54" i="7"/>
  <c r="Q54" i="7" s="1"/>
  <c r="R63" i="7"/>
  <c r="S63" i="7" s="1"/>
  <c r="P63" i="7"/>
  <c r="Q63" i="7" s="1"/>
  <c r="R10" i="7"/>
  <c r="S10" i="7" s="1"/>
  <c r="P10" i="7"/>
  <c r="Q10" i="7" s="1"/>
  <c r="I10" i="7" s="1"/>
  <c r="K10" i="7" s="1"/>
  <c r="R60" i="7"/>
  <c r="S60" i="7" s="1"/>
  <c r="P60" i="7"/>
  <c r="Q60" i="7" s="1"/>
  <c r="R89" i="7"/>
  <c r="S89" i="7" s="1"/>
  <c r="P89" i="7"/>
  <c r="Q89" i="7" s="1"/>
  <c r="R98" i="7"/>
  <c r="S98" i="7" s="1"/>
  <c r="P98" i="7"/>
  <c r="Q98" i="7" s="1"/>
  <c r="R50" i="7"/>
  <c r="S50" i="7" s="1"/>
  <c r="P50" i="7"/>
  <c r="Q50" i="7" s="1"/>
  <c r="R90" i="7"/>
  <c r="S90" i="7" s="1"/>
  <c r="P90" i="7"/>
  <c r="Q90" i="7" s="1"/>
  <c r="R96" i="7"/>
  <c r="S96" i="7" s="1"/>
  <c r="P96" i="7"/>
  <c r="Q96" i="7" s="1"/>
  <c r="R58" i="7"/>
  <c r="S58" i="7" s="1"/>
  <c r="P58" i="7"/>
  <c r="Q58" i="7" s="1"/>
  <c r="R85" i="7"/>
  <c r="S85" i="7" s="1"/>
  <c r="P85" i="7"/>
  <c r="Q85" i="7" s="1"/>
  <c r="R52" i="7"/>
  <c r="S52" i="7" s="1"/>
  <c r="P52" i="7"/>
  <c r="Q52" i="7" s="1"/>
  <c r="R99" i="7"/>
  <c r="S99" i="7" s="1"/>
  <c r="P99" i="7"/>
  <c r="Q99" i="7" s="1"/>
  <c r="R82" i="7"/>
  <c r="S82" i="7" s="1"/>
  <c r="P82" i="7"/>
  <c r="Q82" i="7" s="1"/>
  <c r="R68" i="7"/>
  <c r="S68" i="7" s="1"/>
  <c r="P68" i="7"/>
  <c r="Q68" i="7" s="1"/>
  <c r="R56" i="7"/>
  <c r="S56" i="7" s="1"/>
  <c r="P56" i="7"/>
  <c r="Q56" i="7" s="1"/>
  <c r="R44" i="7"/>
  <c r="S44" i="7" s="1"/>
  <c r="P44" i="7"/>
  <c r="Q44" i="7" s="1"/>
  <c r="R51" i="7"/>
  <c r="S51" i="7" s="1"/>
  <c r="P51" i="7"/>
  <c r="Q51" i="7" s="1"/>
  <c r="R42" i="7"/>
  <c r="S42" i="7" s="1"/>
  <c r="P42" i="7"/>
  <c r="Q42" i="7" s="1"/>
  <c r="R38" i="7"/>
  <c r="S38" i="7" s="1"/>
  <c r="P38" i="7"/>
  <c r="Q38" i="7" s="1"/>
  <c r="R88" i="7"/>
  <c r="S88" i="7" s="1"/>
  <c r="P88" i="7"/>
  <c r="Q88" i="7" s="1"/>
  <c r="R69" i="7"/>
  <c r="S69" i="7" s="1"/>
  <c r="P69" i="7"/>
  <c r="Q69" i="7" s="1"/>
  <c r="R78" i="7"/>
  <c r="S78" i="7" s="1"/>
  <c r="P78" i="7"/>
  <c r="Q78" i="7" s="1"/>
  <c r="R6" i="7"/>
  <c r="S6" i="7" s="1"/>
  <c r="P6" i="7"/>
  <c r="Q6" i="7" s="1"/>
  <c r="I6" i="7" s="1"/>
  <c r="M43" i="1"/>
  <c r="M44" i="1" s="1"/>
  <c r="W11" i="3" s="1"/>
  <c r="R97" i="7"/>
  <c r="S97" i="7" s="1"/>
  <c r="P97" i="7"/>
  <c r="Q97" i="7" s="1"/>
  <c r="R59" i="7"/>
  <c r="S59" i="7" s="1"/>
  <c r="P59" i="7"/>
  <c r="Q59" i="7" s="1"/>
  <c r="R34" i="7"/>
  <c r="S34" i="7" s="1"/>
  <c r="P34" i="7"/>
  <c r="Q34" i="7" s="1"/>
  <c r="R74" i="7"/>
  <c r="S74" i="7" s="1"/>
  <c r="P74" i="7"/>
  <c r="Q74" i="7" s="1"/>
  <c r="R47" i="7"/>
  <c r="S47" i="7" s="1"/>
  <c r="P47" i="7"/>
  <c r="Q47" i="7" s="1"/>
  <c r="R86" i="7"/>
  <c r="S86" i="7" s="1"/>
  <c r="P86" i="7"/>
  <c r="Q86" i="7" s="1"/>
  <c r="R92" i="7"/>
  <c r="S92" i="7" s="1"/>
  <c r="P92" i="7"/>
  <c r="Q92" i="7" s="1"/>
  <c r="R87" i="7"/>
  <c r="S87" i="7" s="1"/>
  <c r="P87" i="7"/>
  <c r="Q87" i="7" s="1"/>
  <c r="R61" i="7"/>
  <c r="S61" i="7" s="1"/>
  <c r="P61" i="7"/>
  <c r="Q61" i="7" s="1"/>
  <c r="R71" i="7"/>
  <c r="S71" i="7" s="1"/>
  <c r="P71" i="7"/>
  <c r="Q71" i="7" s="1"/>
  <c r="R94" i="7"/>
  <c r="S94" i="7" s="1"/>
  <c r="P94" i="7"/>
  <c r="Q94" i="7" s="1"/>
  <c r="R55" i="7"/>
  <c r="S55" i="7" s="1"/>
  <c r="P55" i="7"/>
  <c r="Q55" i="7" s="1"/>
  <c r="R81" i="7"/>
  <c r="S81" i="7" s="1"/>
  <c r="P81" i="7"/>
  <c r="Q81" i="7" s="1"/>
  <c r="R77" i="7"/>
  <c r="S77" i="7" s="1"/>
  <c r="P77" i="7"/>
  <c r="Q77" i="7" s="1"/>
  <c r="R95" i="7"/>
  <c r="S95" i="7" s="1"/>
  <c r="P95" i="7"/>
  <c r="Q95" i="7" s="1"/>
  <c r="R73" i="7"/>
  <c r="S73" i="7" s="1"/>
  <c r="P73" i="7"/>
  <c r="Q73" i="7" s="1"/>
  <c r="R91" i="7"/>
  <c r="S91" i="7" s="1"/>
  <c r="P91" i="7"/>
  <c r="Q91" i="7" s="1"/>
  <c r="R84" i="7"/>
  <c r="S84" i="7" s="1"/>
  <c r="P84" i="7"/>
  <c r="Q84" i="7" s="1"/>
  <c r="R30" i="7"/>
  <c r="S30" i="7" s="1"/>
  <c r="P30" i="7"/>
  <c r="Q30" i="7" s="1"/>
  <c r="R70" i="7"/>
  <c r="S70" i="7" s="1"/>
  <c r="P70" i="7"/>
  <c r="Q70" i="7" s="1"/>
  <c r="N101" i="4"/>
  <c r="R79" i="7"/>
  <c r="S79" i="7" s="1"/>
  <c r="P79" i="7"/>
  <c r="Q79" i="7" s="1"/>
  <c r="R26" i="7"/>
  <c r="S26" i="7" s="1"/>
  <c r="P26" i="7"/>
  <c r="Q26" i="7" s="1"/>
  <c r="R76" i="7"/>
  <c r="S76" i="7" s="1"/>
  <c r="P76" i="7"/>
  <c r="Q76" i="7" s="1"/>
  <c r="R57" i="7"/>
  <c r="S57" i="7" s="1"/>
  <c r="P57" i="7"/>
  <c r="Q57" i="7" s="1"/>
  <c r="R66" i="7"/>
  <c r="S66" i="7" s="1"/>
  <c r="P66" i="7"/>
  <c r="Q66" i="7" s="1"/>
  <c r="R43" i="7"/>
  <c r="S43" i="7" s="1"/>
  <c r="P43" i="7"/>
  <c r="Q43" i="7" s="1"/>
  <c r="R104" i="7"/>
  <c r="S104" i="7" s="1"/>
  <c r="P104" i="7"/>
  <c r="Q104" i="7" s="1"/>
  <c r="R100" i="7"/>
  <c r="S100" i="7" s="1"/>
  <c r="P100" i="7"/>
  <c r="Q100" i="7" s="1"/>
  <c r="P8" i="7"/>
  <c r="Q8" i="7" s="1"/>
  <c r="I8" i="7" s="1"/>
  <c r="R8" i="7"/>
  <c r="S8" i="7" s="1"/>
  <c r="R65" i="7"/>
  <c r="S65" i="7" s="1"/>
  <c r="P65" i="7"/>
  <c r="Q65" i="7" s="1"/>
  <c r="R83" i="7"/>
  <c r="S83" i="7" s="1"/>
  <c r="P83" i="7"/>
  <c r="Q83" i="7" s="1"/>
  <c r="R80" i="7"/>
  <c r="S80" i="7" s="1"/>
  <c r="P80" i="7"/>
  <c r="Q80" i="7" s="1"/>
  <c r="R75" i="7"/>
  <c r="S75" i="7" s="1"/>
  <c r="P75" i="7"/>
  <c r="Q75" i="7" s="1"/>
  <c r="R22" i="7"/>
  <c r="S22" i="7" s="1"/>
  <c r="P22" i="7"/>
  <c r="Q22" i="7" s="1"/>
  <c r="R72" i="7"/>
  <c r="S72" i="7" s="1"/>
  <c r="P72" i="7"/>
  <c r="Q72" i="7" s="1"/>
  <c r="R101" i="7"/>
  <c r="S101" i="7" s="1"/>
  <c r="P101" i="7"/>
  <c r="Q101" i="7" s="1"/>
  <c r="R53" i="7"/>
  <c r="S53" i="7" s="1"/>
  <c r="P53" i="7"/>
  <c r="Q53" i="7" s="1"/>
  <c r="R62" i="7"/>
  <c r="S62" i="7" s="1"/>
  <c r="P62" i="7"/>
  <c r="Q62" i="7" s="1"/>
  <c r="I55" i="4"/>
  <c r="W67" i="3"/>
  <c r="Y67" i="3" s="1"/>
  <c r="W20" i="3"/>
  <c r="AA3" i="3" s="1"/>
  <c r="W19" i="3"/>
  <c r="AA2" i="3" s="1"/>
  <c r="W12" i="3"/>
  <c r="T70" i="1"/>
  <c r="W18" i="3" s="1"/>
  <c r="AA1" i="3" s="1"/>
  <c r="AA5" i="3" l="1"/>
  <c r="F41" i="4" s="1"/>
  <c r="W43" i="3"/>
  <c r="I18" i="4" s="1"/>
  <c r="I13" i="4" s="1"/>
  <c r="I32" i="4" s="1"/>
  <c r="AA22" i="3" s="1"/>
  <c r="N105" i="4" s="1"/>
  <c r="W38" i="3"/>
  <c r="I56" i="4" s="1"/>
  <c r="M78" i="4"/>
  <c r="W14" i="3"/>
  <c r="Y14" i="3" s="1"/>
  <c r="W13" i="3"/>
  <c r="W15" i="3"/>
  <c r="Y15" i="3" s="1"/>
  <c r="I27" i="4" l="1"/>
  <c r="AA20" i="3" s="1"/>
  <c r="N97" i="4" s="1"/>
  <c r="AB22" i="3"/>
  <c r="R105" i="4" s="1"/>
  <c r="Y13" i="3"/>
  <c r="Y16" i="3"/>
  <c r="AB20" i="3" l="1"/>
  <c r="R97" i="4" s="1"/>
  <c r="I33" i="4"/>
  <c r="I34" i="4" s="1"/>
  <c r="I39" i="4"/>
  <c r="W22" i="3"/>
  <c r="I41" i="4" s="1"/>
  <c r="I57" i="4" s="1"/>
  <c r="W23" i="3" l="1"/>
  <c r="I59" i="4"/>
  <c r="AA23" i="3"/>
  <c r="I40" i="4"/>
  <c r="W65" i="3" s="1"/>
  <c r="Y65" i="3" s="1"/>
  <c r="M76" i="4" s="1"/>
  <c r="M82" i="4" s="1"/>
  <c r="W79" i="3" s="1"/>
  <c r="W80" i="3" s="1"/>
  <c r="W74" i="3" l="1"/>
  <c r="V75" i="3" s="1"/>
  <c r="W82" i="3"/>
  <c r="C84" i="4" s="1"/>
  <c r="AB23" i="3"/>
  <c r="R109" i="4" s="1"/>
  <c r="N109" i="4"/>
  <c r="AA25" i="3"/>
  <c r="AA26" i="3" s="1"/>
  <c r="N93" i="4" s="1"/>
  <c r="I63" i="4"/>
  <c r="AB25" i="3"/>
  <c r="AB26" i="3" s="1"/>
  <c r="R93" i="4" s="1"/>
  <c r="W85" i="3"/>
  <c r="C59" i="4"/>
  <c r="AA29" i="3" l="1"/>
  <c r="AA28" i="3" s="1"/>
  <c r="W86" i="3"/>
  <c r="AB19" i="3" l="1"/>
  <c r="AA19" i="3"/>
  <c r="AD19" i="3"/>
  <c r="AC19" i="3"/>
  <c r="C88" i="4"/>
  <c r="E88" i="4"/>
  <c r="V89" i="3"/>
  <c r="C65" i="4" s="1"/>
</calcChain>
</file>

<file path=xl/comments1.xml><?xml version="1.0" encoding="utf-8"?>
<comments xmlns="http://schemas.openxmlformats.org/spreadsheetml/2006/main">
  <authors>
    <author>Narcisse SOGLOHOUN</author>
  </authors>
  <commentList>
    <comment ref="C57" authorId="0" shapeId="0">
      <text>
        <r>
          <rPr>
            <sz val="9"/>
            <rFont val="Tahoma"/>
            <family val="2"/>
          </rPr>
          <t>Bien meuble ou immeuble
Exemple : Parcelle recasée, parcelle non lotie/non bornée ; véhicule ; Machine ; etc….</t>
        </r>
      </text>
    </comment>
    <comment ref="C58" authorId="0" shapeId="0">
      <text>
        <r>
          <rPr>
            <sz val="9"/>
            <rFont val="Tahoma"/>
            <family val="2"/>
          </rPr>
          <t xml:space="preserve">Caution sur salaire ; Salaire personnel du client ; etc...
</t>
        </r>
      </text>
    </comment>
  </commentList>
</comments>
</file>

<file path=xl/comments2.xml><?xml version="1.0" encoding="utf-8"?>
<comments xmlns="http://schemas.openxmlformats.org/spreadsheetml/2006/main">
  <authors>
    <author>Soglohoun, Narcisse</author>
  </authors>
  <commentList>
    <comment ref="C29" authorId="0" shapeId="0">
      <text>
        <r>
          <rPr>
            <sz val="9"/>
            <rFont val="Tahoma"/>
            <family val="2"/>
          </rPr>
          <t>Posez la question au client pour savoir, combien il vend par semaine ?</t>
        </r>
      </text>
    </comment>
    <comment ref="B38" authorId="0" shapeId="0">
      <text>
        <r>
          <rPr>
            <sz val="9"/>
            <rFont val="Tahoma"/>
            <family val="2"/>
          </rPr>
          <t xml:space="preserve">Il s'agit de faire l'estimation des ventes journalières et des jours de la semaine (Variation par rapport au cycle d'affaires) </t>
        </r>
        <r>
          <rPr>
            <sz val="9"/>
            <rFont val="Tahoma"/>
            <family val="2"/>
          </rPr>
          <t xml:space="preserve">
</t>
        </r>
      </text>
    </comment>
    <comment ref="J39" authorId="0" shapeId="0">
      <text>
        <r>
          <rPr>
            <sz val="9"/>
            <rFont val="Tahoma"/>
            <family val="2"/>
          </rPr>
          <t>Mettre le chiffre d'affaires journalier par cycle</t>
        </r>
      </text>
    </comment>
    <comment ref="B47" authorId="0" shapeId="0">
      <text>
        <r>
          <rPr>
            <sz val="9"/>
            <rFont val="Tahoma"/>
            <family val="2"/>
          </rPr>
          <t xml:space="preserve">Il s'agit de vérifier si le client connaît combien il gagne sur la vente de ses produits ou articles ? Juste la différence en le prix de vente et le coût d'achat.
Coût d'achat = Prix d'achat+ frais sur achats
</t>
        </r>
      </text>
    </comment>
    <comment ref="B75" authorId="0" shapeId="0">
      <text>
        <r>
          <rPr>
            <sz val="9"/>
            <rFont val="Tahoma"/>
            <family val="2"/>
          </rPr>
          <t xml:space="preserve">Le lieu où s'exerce l'activité, est-ce dans un bâtiment, au marché, à la maison ? Est-ce qu'il y a un local réservé uniquement pour l'activité ou l'entreprise ?
</t>
        </r>
      </text>
    </comment>
    <comment ref="B78" authorId="0" shapeId="0">
      <text>
        <r>
          <rPr>
            <sz val="9"/>
            <rFont val="Tahoma"/>
            <family val="2"/>
          </rPr>
          <t xml:space="preserve">Le lieu où s'exerce l'activité, est-ce dans un bâtiment, au marché, à la maison ? Est-ce qu'il y a un local réservé uniquement pour l'activité ou l'entreprise ?
</t>
        </r>
      </text>
    </comment>
    <comment ref="B81" authorId="0" shapeId="0">
      <text>
        <r>
          <rPr>
            <sz val="9"/>
            <rFont val="Tahoma"/>
            <family val="2"/>
          </rPr>
          <t xml:space="preserve">Ici, on parle des installations et agencements, des étagères, des systèmes etc…
Tout ce qui a été installé pour les besoins de l'activité et qui peut durer dans le temps et qu'on peut amortir progressivement
</t>
        </r>
      </text>
    </comment>
    <comment ref="B84" authorId="0" shapeId="0">
      <text>
        <r>
          <rPr>
            <sz val="9"/>
            <rFont val="Tahoma"/>
            <family val="2"/>
          </rPr>
          <t xml:space="preserve"> Véhicule de transport des marchandises, moto, camion dédié spéciquement à l'activité
</t>
        </r>
      </text>
    </comment>
    <comment ref="B87" authorId="0" shapeId="0">
      <text>
        <r>
          <rPr>
            <sz val="9"/>
            <rFont val="Tahoma"/>
            <family val="2"/>
          </rPr>
          <t xml:space="preserve">ici, on fait allusion au meubles de bureau et matériels informatiques
</t>
        </r>
      </text>
    </comment>
    <comment ref="B90" authorId="0" shapeId="0">
      <text>
        <r>
          <rPr>
            <sz val="9"/>
            <rFont val="Tahoma"/>
            <family val="2"/>
          </rPr>
          <t>Il s'agit de vérifier si le client utilise des machines et autres matériels de production</t>
        </r>
      </text>
    </comment>
    <comment ref="B93" authorId="0" shapeId="0">
      <text>
        <r>
          <rPr>
            <sz val="9"/>
            <rFont val="Tahoma"/>
            <family val="2"/>
          </rPr>
          <t>Il s'agit de vérifier si le client a payé une caution pour la location de son magasin ou pour un dépôt de garantie, une caution financière. Il s'agit des fonds remboursables qui sont immobilisés</t>
        </r>
      </text>
    </comment>
    <comment ref="B96" authorId="0" shapeId="0">
      <text>
        <r>
          <rPr>
            <sz val="9"/>
            <rFont val="Tahoma"/>
            <family val="2"/>
          </rPr>
          <t>Il s'agit de vérifier si le client utilise des machines et autres matériels de production</t>
        </r>
      </text>
    </comment>
    <comment ref="B99" authorId="0" shapeId="0">
      <text>
        <r>
          <rPr>
            <sz val="9"/>
            <rFont val="Tahoma"/>
            <family val="2"/>
          </rPr>
          <t>Il s'agit de vérifier si le client utilise des machines et autres matériels de production</t>
        </r>
      </text>
    </comment>
    <comment ref="B126" authorId="0" shapeId="0">
      <text>
        <r>
          <rPr>
            <sz val="9"/>
            <rFont val="Tahoma"/>
            <family val="2"/>
          </rPr>
          <t>Il s'agit de repertorier tous les clients qui vous doivent de l'argent ?</t>
        </r>
      </text>
    </comment>
    <comment ref="B131" authorId="0" shapeId="0">
      <text>
        <r>
          <rPr>
            <sz val="9"/>
            <rFont val="Tahoma"/>
            <family val="2"/>
          </rPr>
          <t>Combien le client a dans sa caisse comme argent comptant ?  Argent en main</t>
        </r>
      </text>
    </comment>
  </commentList>
</comments>
</file>

<file path=xl/sharedStrings.xml><?xml version="1.0" encoding="utf-8"?>
<sst xmlns="http://schemas.openxmlformats.org/spreadsheetml/2006/main" count="735" uniqueCount="469">
  <si>
    <t>AGRICULTURE</t>
  </si>
  <si>
    <t>COMMERCE</t>
  </si>
  <si>
    <t>ARTISANAT</t>
  </si>
  <si>
    <t>SERVICE</t>
  </si>
  <si>
    <t>INDUSTRIE</t>
  </si>
  <si>
    <t>Autre</t>
  </si>
  <si>
    <t>Production_animale</t>
  </si>
  <si>
    <t>Production_vegetale</t>
  </si>
  <si>
    <t>Transformation</t>
  </si>
  <si>
    <t>Commercialisation</t>
  </si>
  <si>
    <t>Périodicité</t>
  </si>
  <si>
    <t>Durée Amorts (mois)</t>
  </si>
  <si>
    <t>Valeur d'acquisition</t>
  </si>
  <si>
    <t>mensualité</t>
  </si>
  <si>
    <t>CA</t>
  </si>
  <si>
    <t>Objet du crédit :</t>
  </si>
  <si>
    <t>Hyp. Faib.</t>
  </si>
  <si>
    <t>% Recom.</t>
  </si>
  <si>
    <t xml:space="preserve">Cycle : </t>
  </si>
  <si>
    <t>Modifier cycle</t>
  </si>
  <si>
    <t>Habillement</t>
  </si>
  <si>
    <t>Menuiserie</t>
  </si>
  <si>
    <t>Formation</t>
  </si>
  <si>
    <t>Fabrication</t>
  </si>
  <si>
    <t>Divers</t>
  </si>
  <si>
    <t xml:space="preserve">Bovin </t>
  </si>
  <si>
    <t xml:space="preserve">Agrumes </t>
  </si>
  <si>
    <t>Mensuelle</t>
  </si>
  <si>
    <t>Janvier</t>
  </si>
  <si>
    <t xml:space="preserve">Coût de l'investissement : </t>
  </si>
  <si>
    <t>Hyp. Moy.</t>
  </si>
  <si>
    <t>Fort %</t>
  </si>
  <si>
    <t>Restauration</t>
  </si>
  <si>
    <t>Soudure</t>
  </si>
  <si>
    <t>Assistance</t>
  </si>
  <si>
    <t>Aquaculture</t>
  </si>
  <si>
    <t xml:space="preserve">Anacarde </t>
  </si>
  <si>
    <t>Bimestrielle</t>
  </si>
  <si>
    <t>Février</t>
  </si>
  <si>
    <t>Autres dépenses invest.</t>
  </si>
  <si>
    <t>Hyp. Elev.</t>
  </si>
  <si>
    <t>Faible %</t>
  </si>
  <si>
    <t xml:space="preserve">Alimentation </t>
  </si>
  <si>
    <t>Coiffure</t>
  </si>
  <si>
    <t>Service divers</t>
  </si>
  <si>
    <t>Aviculture</t>
  </si>
  <si>
    <t>Ananas</t>
  </si>
  <si>
    <t>Trimestrielle</t>
  </si>
  <si>
    <t>Mars</t>
  </si>
  <si>
    <t>Apport personnel</t>
  </si>
  <si>
    <t>% Declar</t>
  </si>
  <si>
    <t>GRILLE D'ANALYSE DES DEMANDES DE CRÉDITS DES PETITES ET MOYENNES ENTREPRISES</t>
  </si>
  <si>
    <t>Cosmétique</t>
  </si>
  <si>
    <t>Mécanique</t>
  </si>
  <si>
    <t>Auto-école</t>
  </si>
  <si>
    <t xml:space="preserve">Caprin </t>
  </si>
  <si>
    <t xml:space="preserve">Arachide </t>
  </si>
  <si>
    <t>Quadrimestrielle</t>
  </si>
  <si>
    <t>Avril</t>
  </si>
  <si>
    <t>Mercerie</t>
  </si>
  <si>
    <t>Maçonnerie</t>
  </si>
  <si>
    <t>École - Collège</t>
  </si>
  <si>
    <t xml:space="preserve">Ovin </t>
  </si>
  <si>
    <t>Coton</t>
  </si>
  <si>
    <t>Igname</t>
  </si>
  <si>
    <t>Semestrielle</t>
  </si>
  <si>
    <t>Mai</t>
  </si>
  <si>
    <t>Estimation CA Hebdom</t>
  </si>
  <si>
    <t>Vaisselle -Émaux</t>
  </si>
  <si>
    <t>Cordonnerie</t>
  </si>
  <si>
    <t xml:space="preserve">Pêche </t>
  </si>
  <si>
    <t>Maïs</t>
  </si>
  <si>
    <t>Annuelle</t>
  </si>
  <si>
    <t>Juin</t>
  </si>
  <si>
    <t>Estimation CA mensuel</t>
  </si>
  <si>
    <t>Pisciculture</t>
  </si>
  <si>
    <t>Mangue</t>
  </si>
  <si>
    <t>Unique</t>
  </si>
  <si>
    <t>Juillet</t>
  </si>
  <si>
    <t>CA fort mensuel</t>
  </si>
  <si>
    <t>Manioc</t>
  </si>
  <si>
    <t>Août</t>
  </si>
  <si>
    <t>CA moyen mensuel</t>
  </si>
  <si>
    <t>Maraîchage</t>
  </si>
  <si>
    <t>Septembre</t>
  </si>
  <si>
    <t>CA faible mensuel</t>
  </si>
  <si>
    <t>Niébé</t>
  </si>
  <si>
    <t>Niebe</t>
  </si>
  <si>
    <t>Octobre</t>
  </si>
  <si>
    <t>CA hebdo mensuel</t>
  </si>
  <si>
    <t>Nbre Cycle</t>
  </si>
  <si>
    <t>Palmier à huile</t>
  </si>
  <si>
    <t>Riz</t>
  </si>
  <si>
    <t>Novembre</t>
  </si>
  <si>
    <t>CA mensuel dernère vente</t>
  </si>
  <si>
    <t>Durée 1 soll</t>
  </si>
  <si>
    <t xml:space="preserve">Soja </t>
  </si>
  <si>
    <t>Décembre</t>
  </si>
  <si>
    <t>CA Hyoth. Élevée</t>
  </si>
  <si>
    <t>Immobilisations</t>
  </si>
  <si>
    <t>CA Hyoth. Moyenne</t>
  </si>
  <si>
    <t>Durée propo</t>
  </si>
  <si>
    <t>Bâtiments et magasin</t>
  </si>
  <si>
    <t>CA Hyoth. Faible</t>
  </si>
  <si>
    <t>Installations et agencements</t>
  </si>
  <si>
    <t>CA recommandé</t>
  </si>
  <si>
    <t>Matériels industriels</t>
  </si>
  <si>
    <t>Taux MB fixé</t>
  </si>
  <si>
    <t>Fraction Crédit</t>
  </si>
  <si>
    <t>Mobilier de bureau</t>
  </si>
  <si>
    <t>Taux MB Calculé</t>
  </si>
  <si>
    <t>Sollicité</t>
  </si>
  <si>
    <t>Proposé</t>
  </si>
  <si>
    <t>Fonds de roulem</t>
  </si>
  <si>
    <t>Investiss</t>
  </si>
  <si>
    <t>Matériel informatique</t>
  </si>
  <si>
    <t>TMB élevé</t>
  </si>
  <si>
    <t>(Investis) R.1</t>
  </si>
  <si>
    <t>Matériel de transport</t>
  </si>
  <si>
    <t>TMB faible</t>
  </si>
  <si>
    <t>R.2</t>
  </si>
  <si>
    <t>Autres immobilisations</t>
  </si>
  <si>
    <t>R.3</t>
  </si>
  <si>
    <t xml:space="preserve"> Septembre 2024</t>
  </si>
  <si>
    <t>Marge Brute</t>
  </si>
  <si>
    <t>R.4</t>
  </si>
  <si>
    <t>CA Marchandises vendues</t>
  </si>
  <si>
    <t>R.5</t>
  </si>
  <si>
    <t xml:space="preserve">Salaire </t>
  </si>
  <si>
    <t>R.6</t>
  </si>
  <si>
    <t>Prélèment de l'entrepreneur</t>
  </si>
  <si>
    <t>(Fonds de roul.)R.1</t>
  </si>
  <si>
    <t>Loyers</t>
  </si>
  <si>
    <t>R1 retenu</t>
  </si>
  <si>
    <t>Transport</t>
  </si>
  <si>
    <t>Electricité, eau, téléphone</t>
  </si>
  <si>
    <t>Fournitures et autres besoins</t>
  </si>
  <si>
    <t xml:space="preserve">Capacité calculée </t>
  </si>
  <si>
    <t>Entretien et réparation</t>
  </si>
  <si>
    <t xml:space="preserve">Capacité déclarée </t>
  </si>
  <si>
    <t>Carburant et lubrifiants</t>
  </si>
  <si>
    <t>Frais de publicité et promotion</t>
  </si>
  <si>
    <t>Redevance, impôts et taxes</t>
  </si>
  <si>
    <t>Frais bancaires, Intérêts payés</t>
  </si>
  <si>
    <t>Échance autre crédit</t>
  </si>
  <si>
    <t>Diverses charges</t>
  </si>
  <si>
    <t>Provisions</t>
  </si>
  <si>
    <t>Amortissement</t>
  </si>
  <si>
    <t xml:space="preserve">Terrains </t>
  </si>
  <si>
    <t>Stocks</t>
  </si>
  <si>
    <t>Créances, Clients</t>
  </si>
  <si>
    <t>Moins de trois mois</t>
  </si>
  <si>
    <t>Plus de trois mois</t>
  </si>
  <si>
    <t>Trésorerie (Caisse+Banque)</t>
  </si>
  <si>
    <t>Passif</t>
  </si>
  <si>
    <t>Situation nette (Capitaux propres)</t>
  </si>
  <si>
    <t>Emprunt à plus d'un an</t>
  </si>
  <si>
    <t>Emprunt à moins d'un an</t>
  </si>
  <si>
    <t>Autres dettes</t>
  </si>
  <si>
    <t>TOTAL DETTES</t>
  </si>
  <si>
    <t>Autres revenus</t>
  </si>
  <si>
    <t>Dépenses familiales</t>
  </si>
  <si>
    <t>Prélèment (Dépenses personnelles)</t>
  </si>
  <si>
    <t>Coût d'achats pour 1 cycle d'exploitation)</t>
  </si>
  <si>
    <t>Trésorerie disponible pour l'activité</t>
  </si>
  <si>
    <t xml:space="preserve">Stock actuel </t>
  </si>
  <si>
    <t xml:space="preserve">Comptes à recevoir </t>
  </si>
  <si>
    <t>Dettes fournisseurs et autres dettes</t>
  </si>
  <si>
    <t>Crédit fournisseur (Promesse)</t>
  </si>
  <si>
    <t>Attention! Le crédit sollicité surpasse le besoin réel global en crédit de</t>
  </si>
  <si>
    <t>Besoin Investissement</t>
  </si>
  <si>
    <t>Besoin fonds de roulement</t>
  </si>
  <si>
    <t>Total</t>
  </si>
  <si>
    <t>Capacité déclarée</t>
  </si>
  <si>
    <t>Capacité hors autres revenus</t>
  </si>
  <si>
    <t>Capacité calculée</t>
  </si>
  <si>
    <t>La capacité de remboursement déclarée par le membre semble réaliste. Privilégiez cette CDR pour le calcul des ratios.</t>
  </si>
  <si>
    <t>La capacité de remboursement calculée est réaliste par rapport à celle déclarée par le membre.</t>
  </si>
  <si>
    <t>DEMANDE DE CRÉDIT  - GROS DOSSIER</t>
  </si>
  <si>
    <t>Agence de :</t>
  </si>
  <si>
    <t>KALOUM</t>
  </si>
  <si>
    <t>Date de la demande :</t>
  </si>
  <si>
    <t>/</t>
  </si>
  <si>
    <t>Agent de crédit :</t>
  </si>
  <si>
    <t>1.</t>
  </si>
  <si>
    <t>INFORMATIONS SUR LE MEMBRE/CLIENT</t>
  </si>
  <si>
    <t>Nom et Prénoms :</t>
  </si>
  <si>
    <t>Numéro/membre :</t>
  </si>
  <si>
    <t>(Suivant l'ordre de la pièce d’identité )</t>
  </si>
  <si>
    <t>Type  de pièce d'identité :</t>
  </si>
  <si>
    <t>Référence :</t>
  </si>
  <si>
    <t>Date et lieu de naissance :</t>
  </si>
  <si>
    <t>à</t>
  </si>
  <si>
    <t>Genre :</t>
  </si>
  <si>
    <t>Situation matrimoniale :</t>
  </si>
  <si>
    <t>Nombre de personnes à charge :</t>
  </si>
  <si>
    <t>Nombre d'enfants scolarisés :</t>
  </si>
  <si>
    <t>Adresse de domicile et Contact :</t>
  </si>
  <si>
    <t>(Quartier, maison, lot et numéro de téléphone)</t>
  </si>
  <si>
    <t>Nombre d'années à l'adresse :</t>
  </si>
  <si>
    <t>Type de propriété :</t>
  </si>
  <si>
    <t xml:space="preserve">2. </t>
  </si>
  <si>
    <t>ACTIVITÉS</t>
  </si>
  <si>
    <t>Type d'activité :</t>
  </si>
  <si>
    <t>Sous-activité :</t>
  </si>
  <si>
    <t>Description de l'activité :</t>
  </si>
  <si>
    <t>Nombre d'années dans l'activité :</t>
  </si>
  <si>
    <t>Adresse du lieu d'activité :</t>
  </si>
  <si>
    <t>(Depuis combien de temps vous exercez cette activité ?)</t>
  </si>
  <si>
    <t>Autres activités :</t>
  </si>
  <si>
    <t>Lieu de l'activité :</t>
  </si>
  <si>
    <t>3.</t>
  </si>
  <si>
    <t>MODALITÉS DE LA DEMANDE</t>
  </si>
  <si>
    <t>Montant demandé :</t>
  </si>
  <si>
    <t>GNF</t>
  </si>
  <si>
    <t>Durée demandée :</t>
  </si>
  <si>
    <t>Mois</t>
  </si>
  <si>
    <t>Périodicité de remboursement :</t>
  </si>
  <si>
    <t>Taux d'intérêts :</t>
  </si>
  <si>
    <t>Période de différé :</t>
  </si>
  <si>
    <t>Nombre d'échéance :</t>
  </si>
  <si>
    <t>Échéance :</t>
  </si>
  <si>
    <t>(Montant en GNF)</t>
  </si>
  <si>
    <t>Objet du crédit sollicité :</t>
  </si>
  <si>
    <t>Fonds de roulement</t>
  </si>
  <si>
    <t>Détail de l'objet de crédit :</t>
  </si>
  <si>
    <t>Nouveau crédit :</t>
  </si>
  <si>
    <t>X</t>
  </si>
  <si>
    <t>Renouvellement :</t>
  </si>
  <si>
    <t>Rang de crédit :</t>
  </si>
  <si>
    <t>4.</t>
  </si>
  <si>
    <t>GARANTIES PROPOSÉES</t>
  </si>
  <si>
    <t>Type de Garantie</t>
  </si>
  <si>
    <t>Nature / Description des garanties</t>
  </si>
  <si>
    <t xml:space="preserve"> Valeur de la garantie</t>
  </si>
  <si>
    <t xml:space="preserve"> Valeur d'emprunt</t>
  </si>
  <si>
    <t>Caution solidaire</t>
  </si>
  <si>
    <t>CAUTION FINANCIERE</t>
  </si>
  <si>
    <t>Dépôt à terme</t>
  </si>
  <si>
    <t>Suretés réelles</t>
  </si>
  <si>
    <t>Autre garantie</t>
  </si>
  <si>
    <t>Nom et Prénom, Date et Signature</t>
  </si>
  <si>
    <t>(Agent de crédit)</t>
  </si>
  <si>
    <t>(Emprunteur)</t>
  </si>
  <si>
    <t>Attention ! Ne pas insérer, ni supprimer ligne ou colonne. Juste écrire dans les cellules de couleur verte claire et choisir dans la liste au niveau des cellules jaunes</t>
  </si>
  <si>
    <t xml:space="preserve">Date d'évaluation : </t>
  </si>
  <si>
    <t>Nom du membre :</t>
  </si>
  <si>
    <t>N° membre :</t>
  </si>
  <si>
    <t>Activité</t>
  </si>
  <si>
    <t>Quelle est votre activité ?</t>
  </si>
  <si>
    <t xml:space="preserve">Secteur d'activité </t>
  </si>
  <si>
    <t>Sous-secteur d'activité</t>
  </si>
  <si>
    <t>Sous-sous secteur d'activité</t>
  </si>
  <si>
    <t>2.</t>
  </si>
  <si>
    <t>Conditions de crédit sollicité</t>
  </si>
  <si>
    <t>Objet du crédit</t>
  </si>
  <si>
    <t>Montant sollicité</t>
  </si>
  <si>
    <t>Durée de crédit sollicité</t>
  </si>
  <si>
    <t>mois</t>
  </si>
  <si>
    <t>Périodicité de remboursement sollicité</t>
  </si>
  <si>
    <t>Pédiode de différé</t>
  </si>
  <si>
    <t>Nombre d'échéances</t>
  </si>
  <si>
    <t>Échéance correspondante</t>
  </si>
  <si>
    <t>Valeur de la garantie proposée</t>
  </si>
  <si>
    <t>Capacité de remboursement périodique déclarée</t>
  </si>
  <si>
    <t>Quel Chiffre d’Affaires?</t>
  </si>
  <si>
    <t xml:space="preserve">Structure de la marge brute </t>
  </si>
  <si>
    <t>Connaissez-vous votre pourcentage de marge brute ?</t>
  </si>
  <si>
    <t>OUI</t>
  </si>
  <si>
    <t>Procédez au calcul du taux marge brute  ?</t>
  </si>
  <si>
    <t>5.</t>
  </si>
  <si>
    <t>Évaluation des actifs nets de l'entreprise ou de l'activité</t>
  </si>
  <si>
    <t xml:space="preserve">a) Existe-t-il des terrains utilisés pour l'activité ?  </t>
  </si>
  <si>
    <t>NON</t>
  </si>
  <si>
    <t xml:space="preserve">b) Existe-t-il des bâtiments et magasin dédiés à l'activité ?  </t>
  </si>
  <si>
    <t xml:space="preserve">c) Existe-t-il des installations dédiées à l'activité ?  </t>
  </si>
  <si>
    <t xml:space="preserve">d) Existe-t-il des matériels roulants dédiés à l'activité ?  </t>
  </si>
  <si>
    <t xml:space="preserve">e) Existe-t-il des mobiliers et matériels de bureau  ?  </t>
  </si>
  <si>
    <t xml:space="preserve">f) Existent-t-ils des machines et équipements de production ?  </t>
  </si>
  <si>
    <t xml:space="preserve">g) Caution financière/dépôt financier effectué ou autres ?  </t>
  </si>
  <si>
    <t xml:space="preserve">h) Avez-vous fait des prêts à vos employés ou autres prêts  ?  </t>
  </si>
  <si>
    <t>Faire l'évaluation du stock disponible ?</t>
  </si>
  <si>
    <t xml:space="preserve">j) Obtenez-vous des crédits fournisseurs ? </t>
  </si>
  <si>
    <t>k) Avez-vous des clients qui vous doivent de l'argent ?</t>
  </si>
  <si>
    <t>l) Avez-vous de l'argent cash quelque part ?</t>
  </si>
  <si>
    <t>m) Avez-vous de l'argent dans un compte CRG ?</t>
  </si>
  <si>
    <t>n) Avez-vous de l'argent auprès d'un tontinier ?</t>
  </si>
  <si>
    <t>o) Avez-vous de l'argent dans un compte en banque/IMF ?</t>
  </si>
  <si>
    <t>p) Devez-vous de l'argent à une institution de microfinance ?</t>
  </si>
  <si>
    <t>q) Avez-vous un emprunt bancaire à + d'1 an dans une banque  ?</t>
  </si>
  <si>
    <t>r) Avez-vous un emprunt bancaire à - d'1 an dans une banque  ?</t>
  </si>
  <si>
    <t>s) Avez-vous reçu des avances chez vos clients ?</t>
  </si>
  <si>
    <t>t) Devez-vous de l'argent à vos fournisseurs ?</t>
  </si>
  <si>
    <t>u) Avez-vous des avis d'imposition non encore réglés ?</t>
  </si>
  <si>
    <t>v) Avez-vous des loyers non encore payés ?</t>
  </si>
  <si>
    <t>w) Avez-vous des factures d'électricités non encore payées ?</t>
  </si>
  <si>
    <t>x) Êtes-vous dans une tontine (où votre tour est déjà passé) ?</t>
  </si>
  <si>
    <t>y) Avez-vous une dette quelconque à régler bientôt ?</t>
  </si>
  <si>
    <t>6.</t>
  </si>
  <si>
    <t>a)  Le loyer des magasins et boutiques</t>
  </si>
  <si>
    <t>b) Le salaire des employés</t>
  </si>
  <si>
    <t xml:space="preserve">c) Achat de fournitures de bureau </t>
  </si>
  <si>
    <t xml:space="preserve">d) Frais de publicité et promotion </t>
  </si>
  <si>
    <t xml:space="preserve">e) Frais de Téléphone / Internet à payer /Communication </t>
  </si>
  <si>
    <t xml:space="preserve">f) Frais d'électricité </t>
  </si>
  <si>
    <t xml:space="preserve">g) Frais d'eau </t>
  </si>
  <si>
    <t>h) Frais de transport sur achat de services</t>
  </si>
  <si>
    <t>i) Frais de transport sur vente de marchandises</t>
  </si>
  <si>
    <t>j) Frais de transport divers</t>
  </si>
  <si>
    <t xml:space="preserve">k) Frais d'entretien et de réparation </t>
  </si>
  <si>
    <t>l) Frais de carburant à payer</t>
  </si>
  <si>
    <t>m) Frais d'assurance à payer</t>
  </si>
  <si>
    <t xml:space="preserve">n) Frais bancaires </t>
  </si>
  <si>
    <t>n) Intérêts sur emprunts à payer dans le mois</t>
  </si>
  <si>
    <t xml:space="preserve">o) Impôts - Taxes et permis  </t>
  </si>
  <si>
    <t xml:space="preserve">p) Frais Honoraires professionnels </t>
  </si>
  <si>
    <t>q) Provisions mensuelles éventuelles ?</t>
  </si>
  <si>
    <t>r) Échéance autre crédit</t>
  </si>
  <si>
    <t>s) Autre charge</t>
  </si>
  <si>
    <t>7.</t>
  </si>
  <si>
    <t>Évaluation des charges personnelles de l'entrepreneur</t>
  </si>
  <si>
    <t>Avez-vous fixé un salaire pour vous-même au niveau de votre activité ?</t>
  </si>
  <si>
    <t>8.</t>
  </si>
  <si>
    <t>Évaluation des autres revenus mensuels de l'entrepreneur</t>
  </si>
  <si>
    <t>a) Salaire et rémunérations en tant que salarié</t>
  </si>
  <si>
    <t xml:space="preserve">b) Loyers perçus </t>
  </si>
  <si>
    <t>c) Revenus issus d'activités secondaires</t>
  </si>
  <si>
    <t>d) Autres revenus</t>
  </si>
  <si>
    <t>9.</t>
  </si>
  <si>
    <t>Évaluation des biens personnels de l'entrepreneur (propriétés personnelles)</t>
  </si>
  <si>
    <t xml:space="preserve">a) Avez-vous des terrains vides </t>
  </si>
  <si>
    <t xml:space="preserve">b) Avez-vous des maisons </t>
  </si>
  <si>
    <t xml:space="preserve">c) Avez-vous des véhicules </t>
  </si>
  <si>
    <t xml:space="preserve">d) Avez-vous des motos </t>
  </si>
  <si>
    <t>e) Autres biens personnels</t>
  </si>
  <si>
    <t>←</t>
  </si>
  <si>
    <t>№</t>
  </si>
  <si>
    <t>Nature de l'immobilisation</t>
  </si>
  <si>
    <t>Type d'immobilisation</t>
  </si>
  <si>
    <t>Date d'acquisition</t>
  </si>
  <si>
    <t>Valeur d'acquisition 
(en GNF)</t>
  </si>
  <si>
    <t>Mensualité</t>
  </si>
  <si>
    <t>Cumul des amortissements</t>
  </si>
  <si>
    <t>Date de fin d'amortissement</t>
  </si>
  <si>
    <t>Valeur nette comptable</t>
  </si>
  <si>
    <t>Valeur nette ajustée</t>
  </si>
  <si>
    <t xml:space="preserve">Observation </t>
  </si>
  <si>
    <t>Mois cumulé</t>
  </si>
  <si>
    <t>Mois cumulé corrigé</t>
  </si>
  <si>
    <t>mois restant</t>
  </si>
  <si>
    <t xml:space="preserve">Grille d'évaluation de l'activité </t>
  </si>
  <si>
    <t>Crédit Rural de Guinée</t>
  </si>
  <si>
    <t>Nom et Prénom du membre :</t>
  </si>
  <si>
    <t>Date d'évaluation :</t>
  </si>
  <si>
    <t xml:space="preserve">Cycle d'affaires: </t>
  </si>
  <si>
    <t>en GNF</t>
  </si>
  <si>
    <t>Bilan</t>
  </si>
  <si>
    <t>Évaluation actuelle</t>
  </si>
  <si>
    <t>Évaluation précédente</t>
  </si>
  <si>
    <t>Actif</t>
  </si>
  <si>
    <t xml:space="preserve">Montant (n) </t>
  </si>
  <si>
    <t>Montant (n-1)</t>
  </si>
  <si>
    <t>Observations</t>
  </si>
  <si>
    <t>TOTAL BILAN</t>
  </si>
  <si>
    <t>Besoin en fonds de roulement</t>
  </si>
  <si>
    <t>Rentabilité de l'activité</t>
  </si>
  <si>
    <t>Analyse du Projet</t>
  </si>
  <si>
    <t xml:space="preserve">Montant (n+1) </t>
  </si>
  <si>
    <t>Chiffre d'affaires</t>
  </si>
  <si>
    <t>Coût d'achats des marchandises vendues</t>
  </si>
  <si>
    <t>Marge brute</t>
  </si>
  <si>
    <t>Autres charges</t>
  </si>
  <si>
    <t>Total autres charges d'exploitation</t>
  </si>
  <si>
    <t>Amortissements et Provisions</t>
  </si>
  <si>
    <t>Résultat d'exploitation de l'activité</t>
  </si>
  <si>
    <t>Autres revenus net hors activité</t>
  </si>
  <si>
    <t>Capacité de remboursement calculée</t>
  </si>
  <si>
    <t>Évaluation du besoin réel en crédit</t>
  </si>
  <si>
    <t xml:space="preserve">Montant </t>
  </si>
  <si>
    <t>Ajustement</t>
  </si>
  <si>
    <t xml:space="preserve">Besoins d’investissement ou Coût de l'équipement </t>
  </si>
  <si>
    <t xml:space="preserve">Dépenses rattachées à l’investissement </t>
  </si>
  <si>
    <t xml:space="preserve">Apport personnel  </t>
  </si>
  <si>
    <t>Besoin réel en crédit investissement</t>
  </si>
  <si>
    <t>Nbre de cycle à financer</t>
  </si>
  <si>
    <t xml:space="preserve">Dettes fournisseurs et autres dettes </t>
  </si>
  <si>
    <r>
      <rPr>
        <sz val="11"/>
        <color theme="1"/>
        <rFont val="Arial Nova Cond Light"/>
        <charset val="134"/>
      </rPr>
      <t>Crédit fournisseur (</t>
    </r>
    <r>
      <rPr>
        <i/>
        <sz val="11"/>
        <color theme="1"/>
        <rFont val="Arial Nova Cond Light"/>
        <charset val="134"/>
      </rPr>
      <t>Promesse</t>
    </r>
    <r>
      <rPr>
        <sz val="11"/>
        <color theme="1"/>
        <rFont val="Arial Nova Cond Light"/>
        <charset val="134"/>
      </rPr>
      <t>)</t>
    </r>
  </si>
  <si>
    <t>Besoin réel en crédit exploitation</t>
  </si>
  <si>
    <t>Ratios de décision</t>
  </si>
  <si>
    <t>Proposition - simulation</t>
  </si>
  <si>
    <t>Montant :</t>
  </si>
  <si>
    <t>Durée :</t>
  </si>
  <si>
    <t>Nbre d'éch.</t>
  </si>
  <si>
    <t>Norme</t>
  </si>
  <si>
    <t>≥ 200%</t>
  </si>
  <si>
    <t>Ratios calculés en fonction du montant sollicité</t>
  </si>
  <si>
    <t>Ratios associés au montant proposé</t>
  </si>
  <si>
    <t>(Cash Flow + Autres revenus) / Traite</t>
  </si>
  <si>
    <t>R.2 Ratio de solvabilité</t>
  </si>
  <si>
    <t>≥ 35%</t>
  </si>
  <si>
    <t>Capitaux propres / Total Actif</t>
  </si>
  <si>
    <t>R.3 Ratio de liquidité à échéance</t>
  </si>
  <si>
    <t>≥ 100%</t>
  </si>
  <si>
    <t>(Créances+Trésorerie) / Dettes à court terme</t>
  </si>
  <si>
    <t xml:space="preserve">R.4 Ratio d'endettement </t>
  </si>
  <si>
    <t>&lt; 50%</t>
  </si>
  <si>
    <t>(Dettes totales + Crédit) / (Total Actif + Crédit)</t>
  </si>
  <si>
    <t xml:space="preserve">R.5 Ratio de dépendance </t>
  </si>
  <si>
    <t>Autres revenus / Revenus totaux</t>
  </si>
  <si>
    <t>R.6 Ratio de couverture de la garantie</t>
  </si>
  <si>
    <t>&gt; 150%</t>
  </si>
  <si>
    <t>Valeur de la garantie / Crédit</t>
  </si>
  <si>
    <t>Commentaire d'orientation</t>
  </si>
  <si>
    <t>AVIS ET DÉCISION</t>
  </si>
  <si>
    <t>Directeur d'agence</t>
  </si>
  <si>
    <t>Décision et Signature</t>
  </si>
  <si>
    <t>Délégué Régional</t>
  </si>
  <si>
    <t>Directeur de l'exploitation</t>
  </si>
  <si>
    <t>Comité de direction</t>
  </si>
  <si>
    <t>Carte d'Identité Biométrique</t>
  </si>
  <si>
    <t>Propriétaire</t>
  </si>
  <si>
    <t>Mr YAKE SONOMOU</t>
  </si>
  <si>
    <t>ACHAT DES CONTENEURS DE FRIPERIES ET VENTES A MADINA AVARIA</t>
  </si>
  <si>
    <t>MADINA AVARIA</t>
  </si>
  <si>
    <t>DIXINN</t>
  </si>
  <si>
    <t>Femme</t>
  </si>
  <si>
    <t>Célibataire</t>
  </si>
  <si>
    <t>YATTAYA FOSSIDET</t>
  </si>
  <si>
    <t>624-20-35-32/620-56-00-83</t>
  </si>
  <si>
    <t xml:space="preserve">COMMERCE D'HABIT ,PARFUM,COSMETIQUE ET D'ARTICLE DIVERS </t>
  </si>
  <si>
    <t>FOSSIDET CARREFOUR</t>
  </si>
  <si>
    <t>ACHAT D'HABIT,PARFUM,COSMETIQUE ET ARTICLE DIVERS</t>
  </si>
  <si>
    <t xml:space="preserve">APPORT EG </t>
  </si>
  <si>
    <t>BARRY AISSATOU BOBO</t>
  </si>
  <si>
    <t>PANTALON(FEMME)</t>
  </si>
  <si>
    <t>HABIT PRÊT A PORTER</t>
  </si>
  <si>
    <t>TISSUS(WAX)</t>
  </si>
  <si>
    <t>PAIRE DE CHAUSSURE EN PLASTIQUE</t>
  </si>
  <si>
    <t>CHAUSSURE POUR ENFANT</t>
  </si>
  <si>
    <t>KIT DE MAQUILLAGE</t>
  </si>
  <si>
    <t>ENSEMBLE DE LINGERIE</t>
  </si>
  <si>
    <t>PAIRE DE CHAUSSURE(CARTONS)</t>
  </si>
  <si>
    <t>SAC A MAIN (DOUZAINE)</t>
  </si>
  <si>
    <t>TISSUS WAX</t>
  </si>
  <si>
    <t>COMPLET MACKY SALL</t>
  </si>
  <si>
    <t>CHAUSSURES EN TALON</t>
  </si>
  <si>
    <t>SACS A MAIN</t>
  </si>
  <si>
    <t xml:space="preserve">PANTALON JEAN </t>
  </si>
  <si>
    <t>SAVON DE DOUCHE</t>
  </si>
  <si>
    <t xml:space="preserve">SHAMPOING </t>
  </si>
  <si>
    <t xml:space="preserve">PARFUM DE PEAU </t>
  </si>
  <si>
    <t>PARFUM DE CHAMBRE</t>
  </si>
  <si>
    <t>CHEMISE</t>
  </si>
  <si>
    <t>ETAGERE POUR LES HABITS</t>
  </si>
  <si>
    <t>ETAGERE POUR LES PRODUITS COSMETIQUE</t>
  </si>
  <si>
    <t>ETAGERE POUR WAX</t>
  </si>
  <si>
    <t>CONGELATEUR I</t>
  </si>
  <si>
    <t xml:space="preserve">COMPTOIRE </t>
  </si>
  <si>
    <t>CONGELATEURII</t>
  </si>
  <si>
    <t>AUDI</t>
  </si>
  <si>
    <t>PARCELLE A KOURIAH</t>
  </si>
  <si>
    <t>COLLANT</t>
  </si>
  <si>
    <t>Capacité de remb. calculée</t>
  </si>
  <si>
    <t>ROBE</t>
  </si>
  <si>
    <t>SAVON (CARTON)</t>
  </si>
  <si>
    <t>LAIT DE PEAU(CARTON)</t>
  </si>
  <si>
    <t>SHAMPOING(CARTON)</t>
  </si>
  <si>
    <t>PARFUM(CARTON)</t>
  </si>
  <si>
    <t>CREME DE CHEVEUX(CARTON)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</si>
</sst>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 #,##0.00_)_ ;_ * \(#,##0.00\)_ ;_ * &quot;-&quot;??_)_ ;_ @_ "/>
    <numFmt numFmtId="165" formatCode="_(* #,##0_);_(* \(#,##0\);_(* &quot;-&quot;??_);_(@_)"/>
    <numFmt numFmtId="166" formatCode="_ * #,##0_)_ ;_ * \(#,##0\)_ ;_ * &quot;-&quot;??_)_ ;_ @_ "/>
    <numFmt numFmtId="167" formatCode="#,##0\ [$GNF]"/>
    <numFmt numFmtId="168" formatCode="0.0%"/>
    <numFmt numFmtId="169" formatCode="#,##0\ [$GNF]_);\(#,##0\ [$GNF]\)"/>
  </numFmts>
  <fonts count="68">
    <font>
      <sz val="11"/>
      <color theme="1"/>
      <name val="Aptos Narrow"/>
      <charset val="134"/>
      <scheme val="minor"/>
    </font>
    <font>
      <b/>
      <sz val="14"/>
      <color theme="1"/>
      <name val="Aptos Narrow"/>
      <charset val="134"/>
      <scheme val="minor"/>
    </font>
    <font>
      <b/>
      <sz val="11"/>
      <color theme="0"/>
      <name val="Aptos Narrow"/>
      <charset val="134"/>
      <scheme val="minor"/>
    </font>
    <font>
      <b/>
      <sz val="11"/>
      <color theme="1"/>
      <name val="Aptos Narrow"/>
      <charset val="134"/>
      <scheme val="minor"/>
    </font>
    <font>
      <i/>
      <sz val="12"/>
      <color theme="1"/>
      <name val="Abadi"/>
      <charset val="134"/>
    </font>
    <font>
      <sz val="12"/>
      <color theme="1"/>
      <name val="Aptos Narrow"/>
      <charset val="134"/>
      <scheme val="minor"/>
    </font>
    <font>
      <sz val="10"/>
      <color theme="1"/>
      <name val="Aptos Narrow"/>
      <charset val="134"/>
      <scheme val="minor"/>
    </font>
    <font>
      <b/>
      <sz val="8"/>
      <color theme="1"/>
      <name val="Aptos Narrow"/>
      <charset val="134"/>
      <scheme val="minor"/>
    </font>
    <font>
      <b/>
      <sz val="11"/>
      <color rgb="FFFF0000"/>
      <name val="Aptos Narrow"/>
      <charset val="134"/>
      <scheme val="minor"/>
    </font>
    <font>
      <u/>
      <sz val="11"/>
      <color theme="10"/>
      <name val="Aptos Narrow"/>
      <charset val="134"/>
      <scheme val="minor"/>
    </font>
    <font>
      <b/>
      <sz val="8"/>
      <color rgb="FFFF0000"/>
      <name val="Aptos Narrow"/>
      <charset val="134"/>
      <scheme val="minor"/>
    </font>
    <font>
      <b/>
      <sz val="11"/>
      <color theme="1"/>
      <name val="Arial"/>
      <family val="2"/>
    </font>
    <font>
      <i/>
      <sz val="11"/>
      <color theme="1"/>
      <name val="Arial"/>
      <family val="2"/>
    </font>
    <font>
      <sz val="11"/>
      <color theme="1"/>
      <name val="Arial Nova Cond Light"/>
      <charset val="134"/>
    </font>
    <font>
      <b/>
      <sz val="11"/>
      <color theme="1"/>
      <name val="Arial Nova Cond Light"/>
      <charset val="134"/>
    </font>
    <font>
      <sz val="11"/>
      <color theme="1"/>
      <name val="Arial"/>
      <family val="2"/>
    </font>
    <font>
      <i/>
      <sz val="8"/>
      <color theme="1"/>
      <name val="Arial"/>
      <family val="2"/>
    </font>
    <font>
      <i/>
      <sz val="11"/>
      <color theme="1"/>
      <name val="Aptos Narrow"/>
      <charset val="134"/>
      <scheme val="minor"/>
    </font>
    <font>
      <b/>
      <sz val="7"/>
      <color theme="1"/>
      <name val="Aptos Narrow"/>
      <charset val="134"/>
      <scheme val="minor"/>
    </font>
    <font>
      <i/>
      <sz val="8"/>
      <color theme="1"/>
      <name val="Aptos Narrow"/>
      <charset val="134"/>
      <scheme val="minor"/>
    </font>
    <font>
      <sz val="9"/>
      <color theme="1"/>
      <name val="Aptos Narrow"/>
      <charset val="134"/>
      <scheme val="minor"/>
    </font>
    <font>
      <i/>
      <sz val="11"/>
      <color theme="1"/>
      <name val="Abadi"/>
      <charset val="134"/>
    </font>
    <font>
      <sz val="8"/>
      <color theme="1"/>
      <name val="Arial Nova Cond Light"/>
      <charset val="134"/>
    </font>
    <font>
      <b/>
      <sz val="12"/>
      <color theme="1"/>
      <name val="Aptos Narrow"/>
      <charset val="134"/>
      <scheme val="minor"/>
    </font>
    <font>
      <sz val="11"/>
      <name val="Aptos Narrow"/>
      <charset val="134"/>
      <scheme val="minor"/>
    </font>
    <font>
      <sz val="9"/>
      <color theme="1"/>
      <name val="Arial"/>
      <family val="2"/>
    </font>
    <font>
      <i/>
      <sz val="11"/>
      <name val="Aptos Narrow"/>
      <charset val="134"/>
      <scheme val="minor"/>
    </font>
    <font>
      <sz val="36"/>
      <color rgb="FFFF0000"/>
      <name val="Aptos Narrow"/>
      <charset val="134"/>
      <scheme val="minor"/>
    </font>
    <font>
      <b/>
      <sz val="11"/>
      <name val="Aptos Narrow"/>
      <charset val="134"/>
      <scheme val="minor"/>
    </font>
    <font>
      <sz val="11"/>
      <color theme="1"/>
      <name val="Calibri"/>
      <family val="2"/>
    </font>
    <font>
      <sz val="11"/>
      <color rgb="FF0070C0"/>
      <name val="Aptos Narrow"/>
      <charset val="134"/>
      <scheme val="minor"/>
    </font>
    <font>
      <sz val="11"/>
      <color rgb="FFFFFF00"/>
      <name val="Aptos Narrow"/>
      <charset val="134"/>
      <scheme val="minor"/>
    </font>
    <font>
      <sz val="11"/>
      <color theme="1"/>
      <name val="Aptos Narrow"/>
      <charset val="134"/>
    </font>
    <font>
      <b/>
      <sz val="10"/>
      <name val="Aptos Narrow"/>
      <charset val="134"/>
      <scheme val="minor"/>
    </font>
    <font>
      <sz val="10"/>
      <name val="Aptos Narrow"/>
      <charset val="134"/>
      <scheme val="minor"/>
    </font>
    <font>
      <sz val="8"/>
      <color theme="1"/>
      <name val="Aptos Narrow"/>
      <charset val="134"/>
      <scheme val="minor"/>
    </font>
    <font>
      <b/>
      <sz val="10"/>
      <color theme="1"/>
      <name val="Aptos Narrow"/>
      <charset val="134"/>
      <scheme val="minor"/>
    </font>
    <font>
      <i/>
      <sz val="8"/>
      <name val="Aptos Narrow"/>
      <charset val="134"/>
      <scheme val="minor"/>
    </font>
    <font>
      <sz val="11"/>
      <color rgb="FFFF0000"/>
      <name val="Aptos Narrow"/>
      <charset val="134"/>
      <scheme val="minor"/>
    </font>
    <font>
      <b/>
      <sz val="10"/>
      <color theme="0"/>
      <name val="Aptos Narrow"/>
      <charset val="134"/>
      <scheme val="minor"/>
    </font>
    <font>
      <b/>
      <sz val="8"/>
      <color rgb="FF0033CC"/>
      <name val="Aptos Narrow"/>
      <charset val="134"/>
      <scheme val="minor"/>
    </font>
    <font>
      <sz val="10"/>
      <name val="Arial"/>
      <family val="2"/>
    </font>
    <font>
      <b/>
      <sz val="16"/>
      <color theme="1"/>
      <name val="Aptos Narrow"/>
      <charset val="134"/>
      <scheme val="minor"/>
    </font>
    <font>
      <sz val="13"/>
      <color theme="1"/>
      <name val="Aptos Narrow"/>
      <charset val="134"/>
      <scheme val="minor"/>
    </font>
    <font>
      <b/>
      <sz val="13"/>
      <color theme="1"/>
      <name val="Aptos Narrow"/>
      <charset val="134"/>
      <scheme val="minor"/>
    </font>
    <font>
      <i/>
      <sz val="9"/>
      <color theme="1"/>
      <name val="Aptos Narrow"/>
      <charset val="134"/>
      <scheme val="minor"/>
    </font>
    <font>
      <b/>
      <sz val="14"/>
      <color rgb="FF000000"/>
      <name val="Aptos Narrow"/>
      <charset val="134"/>
      <scheme val="minor"/>
    </font>
    <font>
      <sz val="13"/>
      <color rgb="FF002060"/>
      <name val="Aptos Narrow"/>
      <charset val="134"/>
      <scheme val="minor"/>
    </font>
    <font>
      <sz val="12"/>
      <color rgb="FF002060"/>
      <name val="Aptos Narrow"/>
      <charset val="134"/>
      <scheme val="minor"/>
    </font>
    <font>
      <sz val="10"/>
      <color rgb="FF000000"/>
      <name val="Arial"/>
      <family val="2"/>
    </font>
    <font>
      <b/>
      <sz val="13"/>
      <color rgb="FF000000"/>
      <name val="Aptos Narrow"/>
      <charset val="134"/>
      <scheme val="minor"/>
    </font>
    <font>
      <b/>
      <sz val="20"/>
      <color theme="1"/>
      <name val="Arial"/>
      <family val="2"/>
    </font>
    <font>
      <i/>
      <sz val="13"/>
      <color theme="1"/>
      <name val="Aptos Narrow"/>
      <charset val="134"/>
      <scheme val="minor"/>
    </font>
    <font>
      <b/>
      <sz val="13"/>
      <color rgb="FF0070C0"/>
      <name val="Aptos Narrow"/>
      <charset val="134"/>
      <scheme val="minor"/>
    </font>
    <font>
      <sz val="11"/>
      <color rgb="FF002060"/>
      <name val="Aptos Narrow"/>
      <charset val="134"/>
      <scheme val="minor"/>
    </font>
    <font>
      <sz val="14"/>
      <color rgb="FF002060"/>
      <name val="Aptos Narrow"/>
      <charset val="134"/>
      <scheme val="minor"/>
    </font>
    <font>
      <b/>
      <i/>
      <sz val="13"/>
      <color theme="1"/>
      <name val="Aptos Narrow"/>
      <charset val="134"/>
      <scheme val="minor"/>
    </font>
    <font>
      <sz val="13"/>
      <color rgb="FF0070C0"/>
      <name val="Aptos Narrow"/>
      <charset val="134"/>
      <scheme val="minor"/>
    </font>
    <font>
      <b/>
      <sz val="12"/>
      <name val="Aptos Narrow"/>
      <charset val="134"/>
      <scheme val="minor"/>
    </font>
    <font>
      <sz val="12"/>
      <name val="Aptos Narrow"/>
      <charset val="134"/>
      <scheme val="minor"/>
    </font>
    <font>
      <sz val="14"/>
      <color theme="1"/>
      <name val="Aptos Narrow"/>
      <charset val="134"/>
      <scheme val="minor"/>
    </font>
    <font>
      <sz val="11"/>
      <color rgb="FFFF0000"/>
      <name val="Arial Nova Cond Light"/>
      <charset val="134"/>
    </font>
    <font>
      <sz val="10"/>
      <color theme="1"/>
      <name val="Arial"/>
      <family val="2"/>
    </font>
    <font>
      <sz val="14"/>
      <color theme="1"/>
      <name val="Amasis MT Pro Black"/>
      <charset val="134"/>
    </font>
    <font>
      <sz val="14"/>
      <color theme="1"/>
      <name val="Arabic Typesetting"/>
      <charset val="178"/>
    </font>
    <font>
      <sz val="11"/>
      <color theme="1"/>
      <name val="Aptos Narrow"/>
      <charset val="134"/>
      <scheme val="minor"/>
    </font>
    <font>
      <i/>
      <sz val="11"/>
      <color theme="1"/>
      <name val="Arial Nova Cond Light"/>
      <charset val="134"/>
    </font>
    <font>
      <sz val="9"/>
      <name val="Tahoma"/>
      <family val="2"/>
    </font>
  </fonts>
  <fills count="19">
    <fill>
      <patternFill patternType="none"/>
    </fill>
    <fill>
      <patternFill patternType="gray125"/>
    </fill>
    <fill>
      <patternFill patternType="solid">
        <fgColor theme="1" tint="0.249977111117893"/>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rgb="FFFEFAD4"/>
        <bgColor indexed="64"/>
      </patternFill>
    </fill>
    <fill>
      <patternFill patternType="solid">
        <fgColor theme="1" tint="0.49998474074526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9" tint="0.79992065187536243"/>
        <bgColor indexed="64"/>
      </patternFill>
    </fill>
    <fill>
      <patternFill patternType="solid">
        <fgColor theme="7" tint="0.79995117038483843"/>
        <bgColor indexed="64"/>
      </patternFill>
    </fill>
    <fill>
      <patternFill patternType="solid">
        <fgColor rgb="FFFF0000"/>
        <bgColor indexed="64"/>
      </patternFill>
    </fill>
    <fill>
      <patternFill patternType="lightGrid">
        <fgColor rgb="FFFF0000"/>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3" tint="0.749992370372631"/>
        <bgColor indexed="64"/>
      </patternFill>
    </fill>
    <fill>
      <patternFill patternType="solid">
        <fgColor theme="3" tint="0.89996032593768116"/>
        <bgColor indexed="64"/>
      </patternFill>
    </fill>
  </fills>
  <borders count="3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medium">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4">
    <xf numFmtId="0" fontId="0" fillId="0" borderId="0"/>
    <xf numFmtId="164" fontId="65" fillId="0" borderId="0" applyFont="0" applyFill="0" applyBorder="0" applyAlignment="0" applyProtection="0"/>
    <xf numFmtId="9" fontId="65" fillId="0" borderId="0" applyFont="0" applyFill="0" applyBorder="0" applyAlignment="0" applyProtection="0"/>
    <xf numFmtId="0" fontId="9" fillId="0" borderId="0" applyNumberFormat="0" applyFill="0" applyBorder="0" applyAlignment="0" applyProtection="0"/>
  </cellStyleXfs>
  <cellXfs count="599">
    <xf numFmtId="0" fontId="0" fillId="0" borderId="0" xfId="0"/>
    <xf numFmtId="0" fontId="1" fillId="0" borderId="0" xfId="0" applyFont="1" applyProtection="1">
      <protection hidden="1"/>
    </xf>
    <xf numFmtId="0" fontId="0" fillId="0" borderId="0" xfId="0" applyProtection="1">
      <protection hidden="1"/>
    </xf>
    <xf numFmtId="0" fontId="3" fillId="0" borderId="0" xfId="0" applyFont="1" applyProtection="1">
      <protection hidden="1"/>
    </xf>
    <xf numFmtId="0" fontId="1" fillId="3" borderId="1" xfId="0" applyFont="1" applyFill="1" applyBorder="1" applyProtection="1">
      <protection hidden="1"/>
    </xf>
    <xf numFmtId="0" fontId="1" fillId="3" borderId="2" xfId="0" applyFont="1" applyFill="1" applyBorder="1" applyAlignment="1" applyProtection="1">
      <alignment horizontal="left"/>
      <protection hidden="1"/>
    </xf>
    <xf numFmtId="0" fontId="0" fillId="0" borderId="3" xfId="0" applyBorder="1" applyProtection="1">
      <protection hidden="1"/>
    </xf>
    <xf numFmtId="0" fontId="4" fillId="0" borderId="0" xfId="0" applyFont="1" applyAlignment="1" applyProtection="1">
      <alignment vertical="center"/>
      <protection hidden="1"/>
    </xf>
    <xf numFmtId="0" fontId="5" fillId="0" borderId="0" xfId="0" applyFont="1" applyAlignment="1" applyProtection="1">
      <alignment vertical="center"/>
      <protection hidden="1"/>
    </xf>
    <xf numFmtId="0" fontId="0" fillId="0" borderId="4" xfId="0" applyBorder="1" applyProtection="1">
      <protection hidden="1"/>
    </xf>
    <xf numFmtId="0" fontId="0" fillId="0" borderId="5" xfId="0" applyBorder="1" applyProtection="1">
      <protection hidden="1"/>
    </xf>
    <xf numFmtId="0" fontId="8" fillId="0" borderId="0" xfId="0" applyFont="1" applyAlignment="1" applyProtection="1">
      <alignment wrapText="1"/>
      <protection hidden="1"/>
    </xf>
    <xf numFmtId="0" fontId="9" fillId="0" borderId="0" xfId="3" applyProtection="1">
      <protection hidden="1"/>
    </xf>
    <xf numFmtId="0" fontId="1" fillId="3" borderId="6" xfId="0" applyFont="1" applyFill="1" applyBorder="1" applyAlignment="1" applyProtection="1">
      <alignment horizontal="left"/>
      <protection hidden="1"/>
    </xf>
    <xf numFmtId="0" fontId="0" fillId="0" borderId="7" xfId="0" applyBorder="1" applyProtection="1">
      <protection hidden="1"/>
    </xf>
    <xf numFmtId="0" fontId="0" fillId="0" borderId="8" xfId="0" applyBorder="1" applyProtection="1">
      <protection hidden="1"/>
    </xf>
    <xf numFmtId="0" fontId="2" fillId="2" borderId="0" xfId="0" applyFont="1" applyFill="1"/>
    <xf numFmtId="0" fontId="3" fillId="0" borderId="0" xfId="0" applyFont="1"/>
    <xf numFmtId="0" fontId="3" fillId="0" borderId="0" xfId="0" applyFont="1" applyAlignment="1">
      <alignment horizontal="right"/>
    </xf>
    <xf numFmtId="0" fontId="11" fillId="0" borderId="9" xfId="0" applyFont="1" applyBorder="1" applyAlignment="1" applyProtection="1">
      <alignment vertical="center"/>
      <protection hidden="1"/>
    </xf>
    <xf numFmtId="0" fontId="11" fillId="0" borderId="10" xfId="0" applyFont="1" applyBorder="1" applyAlignment="1" applyProtection="1">
      <alignment vertical="center"/>
      <protection hidden="1"/>
    </xf>
    <xf numFmtId="0" fontId="12" fillId="0" borderId="10" xfId="0" applyFont="1" applyBorder="1" applyAlignment="1" applyProtection="1">
      <alignment vertical="center" wrapText="1"/>
      <protection hidden="1"/>
    </xf>
    <xf numFmtId="0" fontId="13" fillId="0" borderId="13" xfId="0" applyFont="1" applyBorder="1" applyAlignment="1" applyProtection="1">
      <alignment vertical="center" wrapText="1"/>
      <protection hidden="1"/>
    </xf>
    <xf numFmtId="0" fontId="14" fillId="0" borderId="14" xfId="0" applyFont="1" applyBorder="1" applyAlignment="1" applyProtection="1">
      <alignment horizontal="right" vertical="center" wrapText="1"/>
      <protection hidden="1"/>
    </xf>
    <xf numFmtId="0" fontId="13" fillId="0" borderId="14" xfId="0" applyFont="1" applyBorder="1" applyAlignment="1" applyProtection="1">
      <alignment horizontal="right" vertical="center" wrapText="1"/>
      <protection hidden="1"/>
    </xf>
    <xf numFmtId="0" fontId="12" fillId="0" borderId="14" xfId="0" applyFont="1" applyBorder="1" applyAlignment="1" applyProtection="1">
      <alignment vertical="center" wrapText="1"/>
      <protection hidden="1"/>
    </xf>
    <xf numFmtId="0" fontId="12" fillId="0" borderId="0" xfId="0" applyFont="1" applyAlignment="1" applyProtection="1">
      <alignment horizontal="left" vertical="center" wrapText="1"/>
      <protection hidden="1"/>
    </xf>
    <xf numFmtId="0" fontId="12" fillId="0" borderId="0" xfId="0" applyFont="1" applyAlignment="1" applyProtection="1">
      <alignment vertical="center" wrapText="1"/>
      <protection hidden="1"/>
    </xf>
    <xf numFmtId="0" fontId="15" fillId="3" borderId="15" xfId="0" applyFont="1" applyFill="1" applyBorder="1"/>
    <xf numFmtId="0" fontId="13" fillId="0" borderId="15" xfId="0" applyFont="1" applyBorder="1" applyAlignment="1" applyProtection="1">
      <alignment vertical="center" wrapText="1"/>
      <protection hidden="1"/>
    </xf>
    <xf numFmtId="9" fontId="14" fillId="0" borderId="14" xfId="2" applyFont="1" applyBorder="1" applyAlignment="1" applyProtection="1">
      <alignment horizontal="center" vertical="center" wrapText="1"/>
      <protection hidden="1"/>
    </xf>
    <xf numFmtId="0" fontId="12" fillId="0" borderId="15" xfId="0" applyFont="1" applyBorder="1" applyAlignment="1" applyProtection="1">
      <alignment vertical="center" wrapText="1"/>
      <protection hidden="1"/>
    </xf>
    <xf numFmtId="0" fontId="12" fillId="0" borderId="12" xfId="0" applyFont="1" applyBorder="1" applyAlignment="1" applyProtection="1">
      <alignment vertical="center" wrapText="1"/>
      <protection hidden="1"/>
    </xf>
    <xf numFmtId="0" fontId="13" fillId="0" borderId="11" xfId="0" applyFont="1" applyBorder="1" applyAlignment="1" applyProtection="1">
      <alignment vertical="center" wrapText="1"/>
      <protection hidden="1"/>
    </xf>
    <xf numFmtId="0" fontId="12" fillId="0" borderId="13" xfId="0" applyFont="1" applyBorder="1" applyAlignment="1" applyProtection="1">
      <alignment vertical="center" wrapText="1"/>
      <protection hidden="1"/>
    </xf>
    <xf numFmtId="0" fontId="12" fillId="6" borderId="17" xfId="0" applyFont="1" applyFill="1" applyBorder="1" applyAlignment="1" applyProtection="1">
      <alignment vertical="center" wrapText="1"/>
      <protection hidden="1"/>
    </xf>
    <xf numFmtId="166" fontId="13" fillId="0" borderId="17" xfId="1" applyNumberFormat="1" applyFont="1" applyBorder="1" applyAlignment="1" applyProtection="1">
      <alignment vertical="center"/>
      <protection hidden="1"/>
    </xf>
    <xf numFmtId="165" fontId="15" fillId="0" borderId="15" xfId="1" applyNumberFormat="1" applyFont="1" applyBorder="1" applyAlignment="1" applyProtection="1">
      <alignment vertical="center"/>
      <protection hidden="1"/>
    </xf>
    <xf numFmtId="165" fontId="15" fillId="0" borderId="0" xfId="1" applyNumberFormat="1" applyFont="1" applyBorder="1" applyAlignment="1" applyProtection="1">
      <alignment horizontal="center" vertical="center"/>
      <protection hidden="1"/>
    </xf>
    <xf numFmtId="0" fontId="0" fillId="0" borderId="0" xfId="0" applyAlignment="1">
      <alignment horizontal="center"/>
    </xf>
    <xf numFmtId="0" fontId="9" fillId="0" borderId="0" xfId="3"/>
    <xf numFmtId="0" fontId="0" fillId="0" borderId="10" xfId="0" applyBorder="1"/>
    <xf numFmtId="0" fontId="0" fillId="0" borderId="17" xfId="0" applyBorder="1"/>
    <xf numFmtId="0" fontId="0" fillId="4" borderId="21" xfId="0" applyFill="1" applyBorder="1" applyAlignment="1" applyProtection="1">
      <alignment horizontal="center"/>
      <protection locked="0"/>
    </xf>
    <xf numFmtId="164" fontId="0" fillId="0" borderId="0" xfId="1" applyFont="1" applyAlignment="1" applyProtection="1"/>
    <xf numFmtId="0" fontId="0" fillId="0" borderId="0" xfId="0" applyAlignment="1" applyProtection="1">
      <alignment horizontal="center"/>
      <protection hidden="1"/>
    </xf>
    <xf numFmtId="0" fontId="3" fillId="0" borderId="9" xfId="0" applyFont="1" applyBorder="1"/>
    <xf numFmtId="0" fontId="13" fillId="0" borderId="16" xfId="0" applyFont="1" applyBorder="1"/>
    <xf numFmtId="0" fontId="13" fillId="0" borderId="0" xfId="0" applyFont="1"/>
    <xf numFmtId="0" fontId="14" fillId="3" borderId="11" xfId="0" applyFont="1" applyFill="1" applyBorder="1" applyAlignment="1">
      <alignment vertical="center"/>
    </xf>
    <xf numFmtId="0" fontId="14" fillId="3" borderId="12" xfId="0" applyFont="1" applyFill="1" applyBorder="1" applyAlignment="1">
      <alignment vertical="center"/>
    </xf>
    <xf numFmtId="0" fontId="14" fillId="0" borderId="0" xfId="0" applyFont="1" applyAlignment="1">
      <alignment horizontal="right" vertical="center"/>
    </xf>
    <xf numFmtId="0" fontId="0" fillId="8" borderId="16" xfId="0" applyFill="1" applyBorder="1"/>
    <xf numFmtId="0" fontId="0" fillId="8" borderId="0" xfId="0" applyFill="1"/>
    <xf numFmtId="0" fontId="0" fillId="0" borderId="16" xfId="0" applyBorder="1" applyAlignment="1" applyProtection="1">
      <alignment vertical="top" wrapText="1"/>
      <protection hidden="1"/>
    </xf>
    <xf numFmtId="0" fontId="0" fillId="0" borderId="0" xfId="0" applyAlignment="1" applyProtection="1">
      <alignment vertical="top" wrapText="1"/>
      <protection hidden="1"/>
    </xf>
    <xf numFmtId="0" fontId="0" fillId="0" borderId="16" xfId="0" applyBorder="1" applyProtection="1">
      <protection hidden="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xf>
    <xf numFmtId="0" fontId="0" fillId="0" borderId="16" xfId="0" applyBorder="1"/>
    <xf numFmtId="0" fontId="0" fillId="0" borderId="0" xfId="0" applyAlignment="1" applyProtection="1">
      <alignment horizontal="center"/>
      <protection locked="0" hidden="1"/>
    </xf>
    <xf numFmtId="0" fontId="13" fillId="4" borderId="21" xfId="0" applyFont="1" applyFill="1" applyBorder="1" applyAlignment="1" applyProtection="1">
      <alignment horizontal="center" vertical="center"/>
      <protection locked="0"/>
    </xf>
    <xf numFmtId="166" fontId="23" fillId="0" borderId="0" xfId="0" applyNumberFormat="1" applyFont="1" applyAlignment="1">
      <alignment horizontal="center" vertical="center"/>
    </xf>
    <xf numFmtId="0" fontId="23" fillId="0" borderId="0" xfId="0" applyFont="1" applyAlignment="1">
      <alignment horizontal="center" vertical="center"/>
    </xf>
    <xf numFmtId="0" fontId="0" fillId="0" borderId="0" xfId="0" applyAlignment="1">
      <alignment horizontal="right"/>
    </xf>
    <xf numFmtId="1" fontId="24" fillId="4" borderId="13" xfId="1" applyNumberFormat="1" applyFont="1" applyFill="1" applyBorder="1" applyAlignment="1" applyProtection="1">
      <protection locked="0"/>
    </xf>
    <xf numFmtId="0" fontId="0" fillId="0" borderId="0" xfId="0" applyAlignment="1">
      <alignment horizontal="center" vertical="center"/>
    </xf>
    <xf numFmtId="0" fontId="0" fillId="0" borderId="12" xfId="0" applyBorder="1"/>
    <xf numFmtId="0" fontId="13" fillId="0" borderId="25" xfId="0" applyFont="1" applyBorder="1"/>
    <xf numFmtId="1" fontId="26" fillId="0" borderId="15" xfId="1" applyNumberFormat="1" applyFont="1" applyFill="1" applyBorder="1" applyAlignment="1" applyProtection="1">
      <alignment horizontal="center"/>
    </xf>
    <xf numFmtId="1" fontId="24" fillId="4" borderId="15" xfId="1" applyNumberFormat="1" applyFont="1" applyFill="1" applyBorder="1" applyAlignment="1" applyProtection="1">
      <alignment horizontal="center"/>
      <protection locked="0"/>
    </xf>
    <xf numFmtId="0" fontId="0" fillId="0" borderId="0" xfId="0" applyAlignment="1">
      <alignment horizontal="center" wrapText="1"/>
    </xf>
    <xf numFmtId="0" fontId="0" fillId="0" borderId="25" xfId="0" applyBorder="1" applyAlignment="1">
      <alignment horizontal="center" wrapText="1"/>
    </xf>
    <xf numFmtId="0" fontId="0" fillId="0" borderId="25" xfId="0" applyBorder="1"/>
    <xf numFmtId="168" fontId="0" fillId="0" borderId="0" xfId="2" applyNumberFormat="1" applyFont="1" applyBorder="1" applyAlignment="1" applyProtection="1">
      <alignment horizontal="center" vertical="center"/>
    </xf>
    <xf numFmtId="168" fontId="0" fillId="0" borderId="0" xfId="2" applyNumberFormat="1" applyFont="1" applyBorder="1" applyAlignment="1" applyProtection="1">
      <alignment vertical="center"/>
    </xf>
    <xf numFmtId="0" fontId="0" fillId="0" borderId="24" xfId="0" applyBorder="1"/>
    <xf numFmtId="0" fontId="0" fillId="0" borderId="0" xfId="0" applyAlignment="1" applyProtection="1">
      <alignment horizontal="center" vertical="center"/>
      <protection hidden="1"/>
    </xf>
    <xf numFmtId="14" fontId="0" fillId="0" borderId="0" xfId="0" applyNumberFormat="1" applyAlignment="1" applyProtection="1">
      <alignment horizontal="center"/>
      <protection hidden="1"/>
    </xf>
    <xf numFmtId="165" fontId="0" fillId="0" borderId="0" xfId="1" applyNumberFormat="1" applyFont="1" applyProtection="1">
      <protection hidden="1"/>
    </xf>
    <xf numFmtId="14" fontId="0" fillId="0" borderId="0" xfId="0" applyNumberFormat="1" applyProtection="1">
      <protection hidden="1"/>
    </xf>
    <xf numFmtId="0" fontId="0" fillId="0" borderId="0" xfId="0" applyAlignment="1" applyProtection="1">
      <alignment horizontal="center" vertical="center" wrapText="1"/>
      <protection hidden="1"/>
    </xf>
    <xf numFmtId="14" fontId="28" fillId="0" borderId="0" xfId="0" applyNumberFormat="1" applyFont="1" applyAlignment="1" applyProtection="1">
      <alignment horizontal="center"/>
      <protection hidden="1"/>
    </xf>
    <xf numFmtId="0" fontId="29" fillId="0" borderId="21" xfId="0" applyFont="1" applyBorder="1" applyAlignment="1" applyProtection="1">
      <alignment horizontal="center" vertical="center"/>
      <protection hidden="1"/>
    </xf>
    <xf numFmtId="0" fontId="3" fillId="0" borderId="21" xfId="0" applyFont="1" applyBorder="1" applyAlignment="1" applyProtection="1">
      <alignment horizontal="center" vertical="center"/>
      <protection hidden="1"/>
    </xf>
    <xf numFmtId="14" fontId="3" fillId="0" borderId="21" xfId="0" applyNumberFormat="1" applyFont="1" applyBorder="1" applyAlignment="1" applyProtection="1">
      <alignment horizontal="center" vertical="center"/>
      <protection hidden="1"/>
    </xf>
    <xf numFmtId="0" fontId="3" fillId="0" borderId="21" xfId="0" applyFont="1" applyBorder="1" applyAlignment="1" applyProtection="1">
      <alignment horizontal="center" vertical="center" wrapText="1"/>
      <protection hidden="1"/>
    </xf>
    <xf numFmtId="165" fontId="3" fillId="0" borderId="21" xfId="1" applyNumberFormat="1" applyFont="1" applyBorder="1" applyAlignment="1" applyProtection="1">
      <alignment horizontal="center" vertical="center" wrapText="1"/>
      <protection hidden="1"/>
    </xf>
    <xf numFmtId="0" fontId="0" fillId="0" borderId="21" xfId="0" applyBorder="1" applyAlignment="1" applyProtection="1">
      <alignment horizontal="center"/>
      <protection hidden="1"/>
    </xf>
    <xf numFmtId="0" fontId="0" fillId="4" borderId="21" xfId="0" applyFill="1" applyBorder="1" applyProtection="1">
      <protection locked="0"/>
    </xf>
    <xf numFmtId="0" fontId="0" fillId="7" borderId="21" xfId="0" applyFill="1" applyBorder="1" applyProtection="1">
      <protection locked="0"/>
    </xf>
    <xf numFmtId="14" fontId="0" fillId="4" borderId="21" xfId="0" applyNumberFormat="1" applyFill="1" applyBorder="1" applyAlignment="1" applyProtection="1">
      <alignment horizontal="center"/>
      <protection locked="0"/>
    </xf>
    <xf numFmtId="165" fontId="0" fillId="4" borderId="21" xfId="1" applyNumberFormat="1" applyFont="1" applyFill="1" applyBorder="1" applyProtection="1">
      <protection locked="0"/>
    </xf>
    <xf numFmtId="165" fontId="30" fillId="9" borderId="21" xfId="1" applyNumberFormat="1" applyFont="1" applyFill="1" applyBorder="1" applyProtection="1">
      <protection hidden="1"/>
    </xf>
    <xf numFmtId="0" fontId="0" fillId="10" borderId="21" xfId="0" applyFill="1" applyBorder="1" applyProtection="1">
      <protection locked="0"/>
    </xf>
    <xf numFmtId="14" fontId="0" fillId="10" borderId="21" xfId="0" applyNumberFormat="1" applyFill="1" applyBorder="1" applyAlignment="1" applyProtection="1">
      <alignment horizontal="center"/>
      <protection locked="0"/>
    </xf>
    <xf numFmtId="0" fontId="0" fillId="10" borderId="21" xfId="0" applyFill="1" applyBorder="1" applyAlignment="1" applyProtection="1">
      <alignment horizontal="center"/>
      <protection locked="0"/>
    </xf>
    <xf numFmtId="165" fontId="0" fillId="10" borderId="21" xfId="1" applyNumberFormat="1" applyFont="1" applyFill="1" applyBorder="1" applyProtection="1">
      <protection locked="0"/>
    </xf>
    <xf numFmtId="14" fontId="3" fillId="0" borderId="21" xfId="0" applyNumberFormat="1" applyFont="1" applyBorder="1" applyAlignment="1" applyProtection="1">
      <alignment horizontal="center" vertical="center" wrapText="1"/>
      <protection hidden="1"/>
    </xf>
    <xf numFmtId="14" fontId="30" fillId="9" borderId="21" xfId="0" applyNumberFormat="1" applyFont="1" applyFill="1" applyBorder="1" applyAlignment="1" applyProtection="1">
      <alignment horizontal="center"/>
      <protection hidden="1"/>
    </xf>
    <xf numFmtId="164" fontId="0" fillId="4" borderId="21" xfId="1" applyFont="1" applyFill="1" applyBorder="1" applyProtection="1">
      <protection locked="0" hidden="1"/>
    </xf>
    <xf numFmtId="0" fontId="0" fillId="11" borderId="21" xfId="0" applyFill="1" applyBorder="1" applyAlignment="1" applyProtection="1">
      <alignment horizontal="center"/>
      <protection hidden="1"/>
    </xf>
    <xf numFmtId="165" fontId="0" fillId="0" borderId="0" xfId="1" applyNumberFormat="1" applyFont="1" applyBorder="1" applyProtection="1">
      <protection hidden="1"/>
    </xf>
    <xf numFmtId="0" fontId="0" fillId="11" borderId="22" xfId="0" applyFill="1" applyBorder="1" applyAlignment="1" applyProtection="1">
      <alignment horizontal="center"/>
      <protection hidden="1"/>
    </xf>
    <xf numFmtId="0" fontId="3" fillId="0" borderId="0" xfId="0" applyFont="1" applyAlignment="1" applyProtection="1">
      <alignment horizontal="center"/>
      <protection hidden="1"/>
    </xf>
    <xf numFmtId="0" fontId="24" fillId="0" borderId="0" xfId="0" applyFont="1" applyProtection="1">
      <protection hidden="1"/>
    </xf>
    <xf numFmtId="0" fontId="0" fillId="0" borderId="0" xfId="0" applyAlignment="1" applyProtection="1">
      <alignment horizontal="right"/>
      <protection hidden="1"/>
    </xf>
    <xf numFmtId="0" fontId="0" fillId="0" borderId="27" xfId="0" applyBorder="1" applyProtection="1">
      <protection hidden="1"/>
    </xf>
    <xf numFmtId="0" fontId="24" fillId="0" borderId="0" xfId="0" applyFont="1" applyAlignment="1" applyProtection="1">
      <alignment horizontal="right"/>
      <protection hidden="1"/>
    </xf>
    <xf numFmtId="0" fontId="3" fillId="3" borderId="0" xfId="0" applyFont="1" applyFill="1" applyAlignment="1" applyProtection="1">
      <alignment horizontal="right"/>
      <protection hidden="1"/>
    </xf>
    <xf numFmtId="0" fontId="3" fillId="3" borderId="0" xfId="0" applyFont="1" applyFill="1" applyProtection="1">
      <protection hidden="1"/>
    </xf>
    <xf numFmtId="0" fontId="0" fillId="13" borderId="0" xfId="0" applyFill="1" applyProtection="1">
      <protection hidden="1"/>
    </xf>
    <xf numFmtId="0" fontId="19" fillId="0" borderId="0" xfId="0" applyFont="1" applyProtection="1">
      <protection hidden="1"/>
    </xf>
    <xf numFmtId="0" fontId="19" fillId="0" borderId="25" xfId="0" applyFont="1" applyBorder="1" applyProtection="1">
      <protection hidden="1"/>
    </xf>
    <xf numFmtId="0" fontId="19" fillId="0" borderId="0" xfId="0" applyFont="1" applyAlignment="1" applyProtection="1">
      <alignment horizontal="center"/>
      <protection hidden="1"/>
    </xf>
    <xf numFmtId="0" fontId="0" fillId="9" borderId="28" xfId="0" applyFill="1" applyBorder="1" applyAlignment="1" applyProtection="1">
      <alignment horizontal="center"/>
      <protection hidden="1"/>
    </xf>
    <xf numFmtId="0" fontId="0" fillId="0" borderId="26" xfId="0" applyBorder="1" applyAlignment="1" applyProtection="1">
      <alignment horizontal="center"/>
      <protection hidden="1"/>
    </xf>
    <xf numFmtId="0" fontId="32" fillId="5" borderId="26" xfId="0" applyFont="1" applyFill="1" applyBorder="1" applyAlignment="1" applyProtection="1">
      <alignment horizontal="center"/>
      <protection locked="0" hidden="1"/>
    </xf>
    <xf numFmtId="0" fontId="32" fillId="5" borderId="21" xfId="0" applyFont="1" applyFill="1" applyBorder="1" applyAlignment="1" applyProtection="1">
      <alignment horizontal="center"/>
      <protection locked="0" hidden="1"/>
    </xf>
    <xf numFmtId="0" fontId="0" fillId="0" borderId="22" xfId="0" applyBorder="1" applyAlignment="1" applyProtection="1">
      <alignment horizontal="center"/>
      <protection hidden="1"/>
    </xf>
    <xf numFmtId="0" fontId="32" fillId="5" borderId="22" xfId="0" applyFont="1" applyFill="1" applyBorder="1" applyAlignment="1" applyProtection="1">
      <alignment horizontal="center"/>
      <protection locked="0" hidden="1"/>
    </xf>
    <xf numFmtId="0" fontId="0" fillId="0" borderId="9" xfId="0" applyBorder="1" applyProtection="1">
      <protection hidden="1"/>
    </xf>
    <xf numFmtId="0" fontId="0" fillId="0" borderId="10" xfId="0" applyBorder="1" applyProtection="1">
      <protection hidden="1"/>
    </xf>
    <xf numFmtId="0" fontId="0" fillId="0" borderId="13" xfId="0" applyBorder="1" applyProtection="1">
      <protection hidden="1"/>
    </xf>
    <xf numFmtId="0" fontId="0" fillId="0" borderId="14" xfId="0" applyBorder="1" applyProtection="1">
      <protection hidden="1"/>
    </xf>
    <xf numFmtId="0" fontId="24" fillId="13" borderId="0" xfId="0" applyFont="1" applyFill="1" applyProtection="1">
      <protection hidden="1"/>
    </xf>
    <xf numFmtId="167" fontId="0" fillId="0" borderId="0" xfId="0" applyNumberFormat="1" applyProtection="1">
      <protection locked="0" hidden="1"/>
    </xf>
    <xf numFmtId="0" fontId="0" fillId="0" borderId="0" xfId="0" applyAlignment="1" applyProtection="1">
      <alignment horizontal="right" indent="1"/>
      <protection hidden="1"/>
    </xf>
    <xf numFmtId="0" fontId="35" fillId="0" borderId="0" xfId="0" applyFont="1" applyProtection="1">
      <protection hidden="1"/>
    </xf>
    <xf numFmtId="0" fontId="17" fillId="0" borderId="15" xfId="0" applyFont="1" applyBorder="1" applyProtection="1">
      <protection hidden="1"/>
    </xf>
    <xf numFmtId="0" fontId="17" fillId="0" borderId="24" xfId="0" applyFont="1" applyBorder="1" applyProtection="1">
      <protection hidden="1"/>
    </xf>
    <xf numFmtId="0" fontId="0" fillId="5" borderId="21" xfId="0" applyFill="1" applyBorder="1" applyAlignment="1" applyProtection="1">
      <alignment horizontal="center"/>
      <protection locked="0" hidden="1"/>
    </xf>
    <xf numFmtId="9" fontId="36" fillId="0" borderId="0" xfId="2" applyFont="1" applyAlignment="1" applyProtection="1">
      <alignment horizontal="center" vertical="center"/>
      <protection locked="0" hidden="1"/>
    </xf>
    <xf numFmtId="0" fontId="24" fillId="13" borderId="0" xfId="0" applyFont="1" applyFill="1" applyAlignment="1" applyProtection="1">
      <alignment horizontal="center"/>
      <protection locked="0" hidden="1"/>
    </xf>
    <xf numFmtId="0" fontId="28" fillId="13" borderId="0" xfId="0" applyFont="1" applyFill="1" applyAlignment="1" applyProtection="1">
      <alignment horizontal="center"/>
      <protection hidden="1"/>
    </xf>
    <xf numFmtId="0" fontId="24" fillId="0" borderId="22" xfId="0" applyFont="1" applyBorder="1" applyProtection="1">
      <protection hidden="1"/>
    </xf>
    <xf numFmtId="0" fontId="3" fillId="0" borderId="27" xfId="0" applyFont="1" applyBorder="1" applyProtection="1">
      <protection hidden="1"/>
    </xf>
    <xf numFmtId="0" fontId="38" fillId="0" borderId="0" xfId="0" applyFont="1" applyProtection="1">
      <protection hidden="1"/>
    </xf>
    <xf numFmtId="10" fontId="24" fillId="13" borderId="0" xfId="2" applyNumberFormat="1" applyFont="1" applyFill="1" applyBorder="1" applyAlignment="1" applyProtection="1">
      <alignment horizontal="center"/>
      <protection hidden="1"/>
    </xf>
    <xf numFmtId="0" fontId="3" fillId="0" borderId="0" xfId="0" applyFont="1" applyAlignment="1" applyProtection="1">
      <alignment horizontal="right"/>
      <protection hidden="1"/>
    </xf>
    <xf numFmtId="0" fontId="0" fillId="13" borderId="0" xfId="0" applyFill="1" applyAlignment="1" applyProtection="1">
      <alignment horizontal="right"/>
      <protection hidden="1"/>
    </xf>
    <xf numFmtId="0" fontId="0" fillId="7" borderId="21" xfId="0" applyFill="1" applyBorder="1" applyAlignment="1" applyProtection="1">
      <alignment horizontal="center"/>
      <protection locked="0" hidden="1"/>
    </xf>
    <xf numFmtId="0" fontId="28" fillId="13" borderId="0" xfId="0" applyFont="1" applyFill="1" applyProtection="1">
      <protection hidden="1"/>
    </xf>
    <xf numFmtId="10" fontId="28" fillId="13" borderId="0" xfId="2" applyNumberFormat="1" applyFont="1" applyFill="1" applyBorder="1" applyAlignment="1" applyProtection="1">
      <alignment horizontal="center"/>
      <protection hidden="1"/>
    </xf>
    <xf numFmtId="0" fontId="41" fillId="0" borderId="27" xfId="0" applyFont="1" applyBorder="1" applyProtection="1">
      <protection hidden="1"/>
    </xf>
    <xf numFmtId="0" fontId="0" fillId="13" borderId="0" xfId="0" applyFill="1" applyAlignment="1" applyProtection="1">
      <alignment horizontal="center"/>
      <protection locked="0" hidden="1"/>
    </xf>
    <xf numFmtId="0" fontId="24" fillId="0" borderId="27" xfId="0" applyFont="1" applyBorder="1" applyProtection="1">
      <protection hidden="1"/>
    </xf>
    <xf numFmtId="0" fontId="0" fillId="0" borderId="12" xfId="0" applyBorder="1" applyProtection="1">
      <protection hidden="1"/>
    </xf>
    <xf numFmtId="0" fontId="0" fillId="12" borderId="0" xfId="0" applyFill="1" applyAlignment="1" applyProtection="1">
      <alignment horizontal="right"/>
      <protection hidden="1"/>
    </xf>
    <xf numFmtId="0" fontId="0" fillId="12" borderId="0" xfId="0" applyFill="1" applyProtection="1">
      <protection hidden="1"/>
    </xf>
    <xf numFmtId="0" fontId="0" fillId="0" borderId="17" xfId="0" applyBorder="1" applyProtection="1">
      <protection hidden="1"/>
    </xf>
    <xf numFmtId="0" fontId="0" fillId="0" borderId="25" xfId="0" applyBorder="1" applyProtection="1">
      <protection hidden="1"/>
    </xf>
    <xf numFmtId="0" fontId="0" fillId="0" borderId="0" xfId="0" applyAlignment="1" applyProtection="1">
      <alignment vertical="center"/>
      <protection hidden="1"/>
    </xf>
    <xf numFmtId="0" fontId="3" fillId="0" borderId="0" xfId="0" applyFont="1" applyAlignment="1" applyProtection="1">
      <alignment horizontal="left"/>
      <protection hidden="1"/>
    </xf>
    <xf numFmtId="0" fontId="42" fillId="0" borderId="0" xfId="0" applyFont="1" applyAlignment="1" applyProtection="1">
      <alignment horizontal="left"/>
      <protection hidden="1"/>
    </xf>
    <xf numFmtId="0" fontId="1" fillId="3" borderId="2" xfId="0" applyFont="1" applyFill="1" applyBorder="1" applyProtection="1">
      <protection hidden="1"/>
    </xf>
    <xf numFmtId="0" fontId="44" fillId="0" borderId="0" xfId="0" applyFont="1" applyAlignment="1" applyProtection="1">
      <alignment horizontal="left"/>
      <protection hidden="1"/>
    </xf>
    <xf numFmtId="0" fontId="44" fillId="0" borderId="0" xfId="0" applyFont="1" applyAlignment="1" applyProtection="1">
      <alignment horizontal="left" vertical="top" wrapText="1"/>
      <protection hidden="1"/>
    </xf>
    <xf numFmtId="0" fontId="43" fillId="0" borderId="0" xfId="0" applyFont="1" applyAlignment="1" applyProtection="1">
      <alignment vertical="center" wrapText="1"/>
      <protection hidden="1"/>
    </xf>
    <xf numFmtId="0" fontId="3" fillId="0" borderId="0" xfId="0" applyFont="1" applyAlignment="1" applyProtection="1">
      <alignment horizontal="left" vertical="center" wrapText="1"/>
      <protection hidden="1"/>
    </xf>
    <xf numFmtId="0" fontId="45" fillId="0" borderId="0" xfId="0" applyFont="1" applyAlignment="1" applyProtection="1">
      <alignment horizontal="center" vertical="top"/>
      <protection hidden="1"/>
    </xf>
    <xf numFmtId="0" fontId="43" fillId="0" borderId="0" xfId="0" applyFont="1" applyProtection="1">
      <protection hidden="1"/>
    </xf>
    <xf numFmtId="0" fontId="0" fillId="0" borderId="3" xfId="0" applyBorder="1" applyAlignment="1" applyProtection="1">
      <alignment vertical="center"/>
      <protection hidden="1"/>
    </xf>
    <xf numFmtId="0" fontId="5" fillId="5" borderId="21" xfId="0" applyFont="1" applyFill="1" applyBorder="1" applyAlignment="1" applyProtection="1">
      <alignment horizontal="center" vertical="center"/>
      <protection locked="0" hidden="1"/>
    </xf>
    <xf numFmtId="0" fontId="49" fillId="0" borderId="3" xfId="0" applyFont="1" applyBorder="1" applyAlignment="1" applyProtection="1">
      <alignment vertical="center" wrapText="1"/>
      <protection hidden="1"/>
    </xf>
    <xf numFmtId="0" fontId="51" fillId="0" borderId="0" xfId="0" applyFont="1" applyAlignment="1" applyProtection="1">
      <alignment horizontal="center" vertical="center"/>
      <protection hidden="1"/>
    </xf>
    <xf numFmtId="0" fontId="47" fillId="4" borderId="12" xfId="0" applyFont="1" applyFill="1" applyBorder="1" applyAlignment="1" applyProtection="1">
      <alignment horizontal="center"/>
      <protection locked="0" hidden="1"/>
    </xf>
    <xf numFmtId="0" fontId="0" fillId="3" borderId="2" xfId="0" applyFill="1" applyBorder="1" applyProtection="1">
      <protection hidden="1"/>
    </xf>
    <xf numFmtId="0" fontId="53" fillId="0" borderId="0" xfId="0" applyFont="1" applyAlignment="1" applyProtection="1">
      <alignment horizontal="center" vertical="top" wrapText="1"/>
      <protection hidden="1"/>
    </xf>
    <xf numFmtId="0" fontId="43" fillId="0" borderId="0" xfId="0" applyFont="1" applyAlignment="1" applyProtection="1">
      <alignment horizontal="center"/>
      <protection hidden="1"/>
    </xf>
    <xf numFmtId="0" fontId="47" fillId="4" borderId="0" xfId="0" applyFont="1" applyFill="1" applyAlignment="1" applyProtection="1">
      <alignment horizontal="center" vertical="center"/>
      <protection locked="0" hidden="1"/>
    </xf>
    <xf numFmtId="0" fontId="21" fillId="0" borderId="0" xfId="0" applyFont="1" applyProtection="1">
      <protection hidden="1"/>
    </xf>
    <xf numFmtId="0" fontId="44" fillId="0" borderId="0" xfId="0" applyFont="1" applyAlignment="1" applyProtection="1">
      <alignment horizontal="center" wrapText="1"/>
      <protection hidden="1"/>
    </xf>
    <xf numFmtId="0" fontId="43" fillId="0" borderId="0" xfId="0" applyFont="1" applyAlignment="1" applyProtection="1">
      <alignment vertical="center"/>
      <protection hidden="1"/>
    </xf>
    <xf numFmtId="0" fontId="56" fillId="0" borderId="0" xfId="0" applyFont="1" applyAlignment="1" applyProtection="1">
      <alignment horizontal="center"/>
      <protection hidden="1"/>
    </xf>
    <xf numFmtId="0" fontId="44" fillId="0" borderId="0" xfId="0" applyFont="1" applyAlignment="1" applyProtection="1">
      <alignment wrapText="1"/>
      <protection hidden="1"/>
    </xf>
    <xf numFmtId="0" fontId="3" fillId="0" borderId="0" xfId="0" applyFont="1" applyAlignment="1" applyProtection="1">
      <alignment wrapText="1"/>
      <protection hidden="1"/>
    </xf>
    <xf numFmtId="0" fontId="6" fillId="0" borderId="0" xfId="0" applyFont="1" applyAlignment="1" applyProtection="1">
      <alignment vertical="center" wrapText="1"/>
      <protection hidden="1"/>
    </xf>
    <xf numFmtId="0" fontId="45" fillId="0" borderId="0" xfId="0" applyFont="1" applyAlignment="1" applyProtection="1">
      <alignment vertical="top"/>
      <protection hidden="1"/>
    </xf>
    <xf numFmtId="0" fontId="0" fillId="3" borderId="6" xfId="0" applyFill="1" applyBorder="1" applyProtection="1">
      <protection hidden="1"/>
    </xf>
    <xf numFmtId="0" fontId="44" fillId="0" borderId="0" xfId="0" applyFont="1" applyProtection="1">
      <protection hidden="1"/>
    </xf>
    <xf numFmtId="0" fontId="3" fillId="0" borderId="7" xfId="0" applyFont="1" applyBorder="1" applyAlignment="1" applyProtection="1">
      <alignment horizontal="left"/>
      <protection hidden="1"/>
    </xf>
    <xf numFmtId="0" fontId="0" fillId="0" borderId="0" xfId="0" applyAlignment="1" applyProtection="1">
      <alignment wrapText="1"/>
      <protection hidden="1"/>
    </xf>
    <xf numFmtId="0" fontId="0" fillId="0" borderId="7" xfId="0" applyBorder="1" applyAlignment="1" applyProtection="1">
      <alignment vertical="center"/>
      <protection hidden="1"/>
    </xf>
    <xf numFmtId="166" fontId="24" fillId="0" borderId="0" xfId="1" applyNumberFormat="1" applyFont="1" applyBorder="1" applyAlignment="1">
      <alignment horizontal="left" vertical="center"/>
    </xf>
    <xf numFmtId="166" fontId="24" fillId="0" borderId="0" xfId="1" applyNumberFormat="1" applyFont="1" applyAlignment="1">
      <alignment horizontal="left" vertical="center"/>
    </xf>
    <xf numFmtId="0" fontId="28" fillId="0" borderId="0" xfId="0" applyFont="1" applyAlignment="1">
      <alignment horizontal="left" vertical="center"/>
    </xf>
    <xf numFmtId="0" fontId="58" fillId="0" borderId="0" xfId="0" applyFont="1" applyAlignment="1">
      <alignment horizontal="left" vertical="center"/>
    </xf>
    <xf numFmtId="0" fontId="24" fillId="0" borderId="0" xfId="0" applyFont="1"/>
    <xf numFmtId="0" fontId="24" fillId="0" borderId="0" xfId="0" applyFont="1" applyAlignment="1">
      <alignment wrapText="1"/>
    </xf>
    <xf numFmtId="0" fontId="59" fillId="0" borderId="0" xfId="0" applyFont="1" applyAlignment="1">
      <alignment vertical="center"/>
    </xf>
    <xf numFmtId="0" fontId="59" fillId="0" borderId="0" xfId="0" applyFont="1"/>
    <xf numFmtId="14" fontId="24" fillId="14" borderId="0" xfId="0" applyNumberFormat="1" applyFont="1" applyFill="1"/>
    <xf numFmtId="0" fontId="3" fillId="14" borderId="0" xfId="0" applyFont="1" applyFill="1"/>
    <xf numFmtId="0" fontId="43" fillId="0" borderId="16" xfId="0" applyFont="1" applyBorder="1" applyAlignment="1">
      <alignment vertical="center" wrapText="1"/>
    </xf>
    <xf numFmtId="0" fontId="43" fillId="0" borderId="0" xfId="0" applyFont="1" applyAlignment="1">
      <alignment vertical="center" wrapText="1"/>
    </xf>
    <xf numFmtId="0" fontId="5" fillId="0" borderId="0" xfId="0" applyFont="1" applyAlignment="1">
      <alignment vertical="center"/>
    </xf>
    <xf numFmtId="0" fontId="5" fillId="0" borderId="0" xfId="0" applyFont="1"/>
    <xf numFmtId="0" fontId="60" fillId="0" borderId="0" xfId="0" applyFont="1" applyAlignment="1">
      <alignment vertical="center"/>
    </xf>
    <xf numFmtId="0" fontId="43" fillId="0" borderId="0" xfId="0" applyFont="1"/>
    <xf numFmtId="166" fontId="28" fillId="15" borderId="0" xfId="1" applyNumberFormat="1" applyFont="1" applyFill="1" applyBorder="1" applyAlignment="1">
      <alignment horizontal="center" vertical="center" wrapText="1"/>
    </xf>
    <xf numFmtId="166" fontId="28" fillId="15" borderId="0" xfId="1" applyNumberFormat="1" applyFont="1" applyFill="1" applyAlignment="1">
      <alignment horizontal="center" vertical="center" wrapText="1"/>
    </xf>
    <xf numFmtId="166" fontId="28" fillId="15" borderId="0" xfId="1" applyNumberFormat="1" applyFont="1" applyFill="1" applyAlignment="1">
      <alignment horizontal="center" vertical="center"/>
    </xf>
    <xf numFmtId="166" fontId="24" fillId="0" borderId="0" xfId="1" applyNumberFormat="1" applyFont="1" applyBorder="1" applyAlignment="1">
      <alignment horizontal="center" vertical="center"/>
    </xf>
    <xf numFmtId="166" fontId="24" fillId="0" borderId="0" xfId="1" applyNumberFormat="1" applyFont="1" applyAlignment="1">
      <alignment horizontal="right" vertical="center"/>
    </xf>
    <xf numFmtId="166" fontId="24" fillId="0" borderId="0" xfId="1" applyNumberFormat="1" applyFont="1" applyAlignment="1">
      <alignment horizontal="center" vertical="center"/>
    </xf>
    <xf numFmtId="1" fontId="0" fillId="0" borderId="0" xfId="0" applyNumberFormat="1" applyAlignment="1">
      <alignment horizontal="center"/>
    </xf>
    <xf numFmtId="166" fontId="0" fillId="0" borderId="0" xfId="1" applyNumberFormat="1" applyFont="1"/>
    <xf numFmtId="0" fontId="0" fillId="16" borderId="21" xfId="0" applyFill="1" applyBorder="1"/>
    <xf numFmtId="166" fontId="0" fillId="16" borderId="21" xfId="1" applyNumberFormat="1" applyFont="1" applyFill="1" applyBorder="1"/>
    <xf numFmtId="1" fontId="38" fillId="17" borderId="0" xfId="0" applyNumberFormat="1" applyFont="1" applyFill="1" applyAlignment="1">
      <alignment horizontal="center"/>
    </xf>
    <xf numFmtId="0" fontId="0" fillId="16" borderId="0" xfId="0" applyFill="1"/>
    <xf numFmtId="166" fontId="0" fillId="16" borderId="0" xfId="1" applyNumberFormat="1" applyFont="1" applyFill="1" applyBorder="1"/>
    <xf numFmtId="168" fontId="0" fillId="0" borderId="0" xfId="2" applyNumberFormat="1" applyFont="1"/>
    <xf numFmtId="168" fontId="0" fillId="0" borderId="0" xfId="0" applyNumberFormat="1"/>
    <xf numFmtId="166" fontId="0" fillId="14" borderId="0" xfId="1" applyNumberFormat="1" applyFont="1" applyFill="1" applyAlignment="1">
      <alignment horizontal="right"/>
    </xf>
    <xf numFmtId="0" fontId="13" fillId="0" borderId="0" xfId="0" applyFont="1" applyAlignment="1" applyProtection="1">
      <alignment vertical="center" wrapText="1"/>
      <protection hidden="1"/>
    </xf>
    <xf numFmtId="166" fontId="13" fillId="0" borderId="0" xfId="1" applyNumberFormat="1" applyFont="1" applyAlignment="1" applyProtection="1">
      <alignment horizontal="right" vertical="center" wrapText="1" indent="1"/>
      <protection hidden="1"/>
    </xf>
    <xf numFmtId="0" fontId="61" fillId="0" borderId="0" xfId="0" applyFont="1" applyAlignment="1" applyProtection="1">
      <alignment vertical="center" wrapText="1"/>
      <protection hidden="1"/>
    </xf>
    <xf numFmtId="166" fontId="61" fillId="0" borderId="0" xfId="1" applyNumberFormat="1" applyFont="1" applyAlignment="1" applyProtection="1">
      <alignment horizontal="right" vertical="center" wrapText="1" indent="1"/>
      <protection hidden="1"/>
    </xf>
    <xf numFmtId="166" fontId="0" fillId="14" borderId="0" xfId="1" applyNumberFormat="1" applyFont="1" applyFill="1"/>
    <xf numFmtId="166" fontId="13" fillId="14" borderId="0" xfId="1" applyNumberFormat="1" applyFont="1" applyFill="1" applyAlignment="1" applyProtection="1">
      <alignment horizontal="right" vertical="center" wrapText="1" indent="1"/>
      <protection hidden="1"/>
    </xf>
    <xf numFmtId="166" fontId="62" fillId="0" borderId="0" xfId="1" applyNumberFormat="1" applyFont="1" applyBorder="1"/>
    <xf numFmtId="166" fontId="62" fillId="18" borderId="21" xfId="1" applyNumberFormat="1" applyFont="1" applyFill="1" applyBorder="1"/>
    <xf numFmtId="166" fontId="62" fillId="0" borderId="21" xfId="1" applyNumberFormat="1" applyFont="1" applyFill="1" applyBorder="1" applyAlignment="1">
      <alignment horizontal="right" indent="1"/>
    </xf>
    <xf numFmtId="166" fontId="62" fillId="0" borderId="0" xfId="1" applyNumberFormat="1" applyFont="1" applyAlignment="1" applyProtection="1">
      <alignment horizontal="right" vertical="center" wrapText="1" indent="1"/>
      <protection hidden="1"/>
    </xf>
    <xf numFmtId="0" fontId="16" fillId="0" borderId="0" xfId="0" applyFont="1" applyAlignment="1" applyProtection="1">
      <alignment horizontal="right" vertical="center" wrapText="1"/>
      <protection hidden="1"/>
    </xf>
    <xf numFmtId="0" fontId="11" fillId="3" borderId="0" xfId="0" applyFont="1" applyFill="1" applyAlignment="1" applyProtection="1">
      <alignment vertical="center" wrapText="1"/>
      <protection hidden="1"/>
    </xf>
    <xf numFmtId="166" fontId="15" fillId="0" borderId="0" xfId="1" applyNumberFormat="1" applyFont="1" applyAlignment="1" applyProtection="1">
      <alignment vertical="center" wrapText="1"/>
      <protection hidden="1"/>
    </xf>
    <xf numFmtId="166" fontId="11" fillId="0" borderId="0" xfId="0" applyNumberFormat="1" applyFont="1"/>
    <xf numFmtId="166" fontId="3" fillId="0" borderId="0" xfId="1" applyNumberFormat="1" applyFont="1"/>
    <xf numFmtId="10" fontId="0" fillId="0" borderId="0" xfId="2" applyNumberFormat="1" applyFont="1" applyAlignment="1">
      <alignment horizontal="center"/>
    </xf>
    <xf numFmtId="0" fontId="0" fillId="0" borderId="21" xfId="0" applyBorder="1"/>
    <xf numFmtId="169" fontId="0" fillId="0" borderId="0" xfId="1" applyNumberFormat="1" applyFont="1"/>
    <xf numFmtId="10" fontId="0" fillId="14" borderId="0" xfId="2" applyNumberFormat="1" applyFont="1" applyFill="1" applyAlignment="1">
      <alignment horizontal="center"/>
    </xf>
    <xf numFmtId="0" fontId="0" fillId="14" borderId="0" xfId="0" applyFill="1"/>
    <xf numFmtId="0" fontId="0" fillId="14" borderId="0" xfId="0" applyFill="1" applyAlignment="1">
      <alignment horizontal="center"/>
    </xf>
    <xf numFmtId="0" fontId="38" fillId="0" borderId="33" xfId="0" applyFont="1" applyBorder="1" applyAlignment="1">
      <alignment horizontal="center"/>
    </xf>
    <xf numFmtId="0" fontId="0" fillId="4" borderId="0" xfId="0" applyFill="1"/>
    <xf numFmtId="0" fontId="0" fillId="4" borderId="0" xfId="0" applyFill="1" applyAlignment="1">
      <alignment horizontal="center"/>
    </xf>
    <xf numFmtId="166" fontId="0" fillId="16" borderId="0" xfId="0" applyNumberFormat="1" applyFill="1"/>
    <xf numFmtId="1" fontId="0" fillId="4" borderId="0" xfId="0" applyNumberFormat="1" applyFill="1" applyAlignment="1">
      <alignment horizontal="center"/>
    </xf>
    <xf numFmtId="166" fontId="0" fillId="16" borderId="0" xfId="1" applyNumberFormat="1" applyFont="1" applyFill="1"/>
    <xf numFmtId="166" fontId="0" fillId="14" borderId="0" xfId="1" applyNumberFormat="1" applyFont="1" applyFill="1" applyAlignment="1">
      <alignment horizontal="center"/>
    </xf>
    <xf numFmtId="1" fontId="0" fillId="0" borderId="0" xfId="0" applyNumberFormat="1"/>
    <xf numFmtId="0" fontId="17" fillId="0" borderId="0" xfId="0" applyFont="1" applyAlignment="1">
      <alignment horizontal="center"/>
    </xf>
    <xf numFmtId="9" fontId="0" fillId="0" borderId="0" xfId="2" applyFont="1"/>
    <xf numFmtId="0" fontId="13" fillId="0" borderId="0" xfId="0" applyFont="1" applyAlignment="1" applyProtection="1">
      <alignment horizontal="right" vertical="center" wrapText="1"/>
      <protection hidden="1"/>
    </xf>
    <xf numFmtId="0" fontId="14" fillId="0" borderId="0" xfId="0" applyFont="1" applyAlignment="1" applyProtection="1">
      <alignment horizontal="right" vertical="center" wrapText="1"/>
      <protection hidden="1"/>
    </xf>
    <xf numFmtId="166" fontId="0" fillId="0" borderId="0" xfId="0" applyNumberFormat="1"/>
    <xf numFmtId="164" fontId="0" fillId="0" borderId="0" xfId="1" applyFont="1"/>
    <xf numFmtId="166" fontId="0" fillId="0" borderId="0" xfId="1" applyNumberFormat="1" applyFont="1" applyAlignment="1">
      <alignment horizontal="right"/>
    </xf>
    <xf numFmtId="0" fontId="0" fillId="4" borderId="21" xfId="0" applyFill="1" applyBorder="1" applyAlignment="1" applyProtection="1">
      <alignment horizontal="center"/>
      <protection locked="0"/>
    </xf>
    <xf numFmtId="0" fontId="64" fillId="0" borderId="0" xfId="0" applyFont="1" applyAlignment="1">
      <alignment horizontal="center"/>
    </xf>
    <xf numFmtId="0" fontId="63" fillId="0" borderId="0" xfId="0" applyFont="1" applyAlignment="1">
      <alignment horizontal="center" vertical="center" wrapText="1"/>
    </xf>
    <xf numFmtId="0" fontId="3" fillId="0" borderId="0" xfId="0" applyFont="1" applyAlignment="1" applyProtection="1">
      <alignment horizontal="left"/>
      <protection hidden="1"/>
    </xf>
    <xf numFmtId="0" fontId="51" fillId="0" borderId="18" xfId="0" applyFont="1" applyBorder="1" applyAlignment="1" applyProtection="1">
      <alignment horizontal="center" vertical="center"/>
      <protection hidden="1"/>
    </xf>
    <xf numFmtId="0" fontId="51" fillId="0" borderId="19" xfId="0" applyFont="1" applyBorder="1" applyAlignment="1" applyProtection="1">
      <alignment horizontal="center" vertical="center"/>
      <protection hidden="1"/>
    </xf>
    <xf numFmtId="0" fontId="51" fillId="0" borderId="32" xfId="0" applyFont="1" applyBorder="1" applyAlignment="1" applyProtection="1">
      <alignment horizontal="center" vertical="center"/>
      <protection hidden="1"/>
    </xf>
    <xf numFmtId="0" fontId="43" fillId="0" borderId="0" xfId="0" applyFont="1" applyAlignment="1" applyProtection="1">
      <alignment horizontal="right" vertical="center"/>
      <protection hidden="1"/>
    </xf>
    <xf numFmtId="0" fontId="43" fillId="0" borderId="25" xfId="0" applyFont="1" applyBorder="1" applyAlignment="1" applyProtection="1">
      <alignment horizontal="right" vertical="center"/>
      <protection hidden="1"/>
    </xf>
    <xf numFmtId="0" fontId="55" fillId="4" borderId="11" xfId="0" applyFont="1" applyFill="1" applyBorder="1" applyAlignment="1" applyProtection="1">
      <alignment horizontal="center"/>
      <protection locked="0" hidden="1"/>
    </xf>
    <xf numFmtId="0" fontId="55" fillId="4" borderId="12" xfId="0" applyFont="1" applyFill="1" applyBorder="1" applyAlignment="1" applyProtection="1">
      <alignment horizontal="center"/>
      <protection locked="0" hidden="1"/>
    </xf>
    <xf numFmtId="0" fontId="55" fillId="4" borderId="24" xfId="0" applyFont="1" applyFill="1" applyBorder="1" applyAlignment="1" applyProtection="1">
      <alignment horizontal="center"/>
      <protection locked="0" hidden="1"/>
    </xf>
    <xf numFmtId="0" fontId="43" fillId="0" borderId="0" xfId="0" applyFont="1" applyAlignment="1" applyProtection="1">
      <alignment horizontal="left"/>
      <protection hidden="1"/>
    </xf>
    <xf numFmtId="0" fontId="47" fillId="4" borderId="12" xfId="0" applyFont="1" applyFill="1" applyBorder="1" applyAlignment="1" applyProtection="1">
      <alignment horizontal="center"/>
      <protection locked="0" hidden="1"/>
    </xf>
    <xf numFmtId="0" fontId="43" fillId="0" borderId="0" xfId="0" applyFont="1" applyAlignment="1" applyProtection="1">
      <alignment horizontal="right"/>
      <protection hidden="1"/>
    </xf>
    <xf numFmtId="0" fontId="47" fillId="4" borderId="11" xfId="0" applyFont="1" applyFill="1" applyBorder="1" applyAlignment="1" applyProtection="1">
      <alignment horizontal="center"/>
      <protection locked="0" hidden="1"/>
    </xf>
    <xf numFmtId="0" fontId="47" fillId="4" borderId="24" xfId="0" applyFont="1" applyFill="1" applyBorder="1" applyAlignment="1" applyProtection="1">
      <alignment horizontal="center"/>
      <protection locked="0" hidden="1"/>
    </xf>
    <xf numFmtId="0" fontId="43" fillId="0" borderId="25" xfId="0" applyFont="1" applyBorder="1" applyAlignment="1" applyProtection="1">
      <alignment horizontal="left"/>
      <protection hidden="1"/>
    </xf>
    <xf numFmtId="0" fontId="43" fillId="4" borderId="11" xfId="0" applyFont="1" applyFill="1" applyBorder="1" applyAlignment="1" applyProtection="1">
      <alignment horizontal="center"/>
      <protection locked="0" hidden="1"/>
    </xf>
    <xf numFmtId="0" fontId="43" fillId="4" borderId="12" xfId="0" applyFont="1" applyFill="1" applyBorder="1" applyAlignment="1" applyProtection="1">
      <alignment horizontal="center"/>
      <protection locked="0" hidden="1"/>
    </xf>
    <xf numFmtId="0" fontId="43" fillId="4" borderId="24" xfId="0" applyFont="1" applyFill="1" applyBorder="1" applyAlignment="1" applyProtection="1">
      <alignment horizontal="center"/>
      <protection locked="0" hidden="1"/>
    </xf>
    <xf numFmtId="0" fontId="43" fillId="0" borderId="0" xfId="0" applyFont="1" applyAlignment="1" applyProtection="1">
      <alignment horizontal="center"/>
      <protection hidden="1"/>
    </xf>
    <xf numFmtId="0" fontId="43" fillId="0" borderId="25" xfId="0" applyFont="1" applyBorder="1" applyAlignment="1" applyProtection="1">
      <alignment horizontal="center"/>
      <protection hidden="1"/>
    </xf>
    <xf numFmtId="0" fontId="45" fillId="0" borderId="10" xfId="0" applyFont="1" applyBorder="1" applyAlignment="1" applyProtection="1">
      <alignment horizontal="center" vertical="top"/>
      <protection hidden="1"/>
    </xf>
    <xf numFmtId="0" fontId="52" fillId="0" borderId="10" xfId="0" applyFont="1" applyBorder="1" applyAlignment="1" applyProtection="1">
      <alignment horizontal="center" vertical="top"/>
      <protection hidden="1"/>
    </xf>
    <xf numFmtId="0" fontId="43" fillId="0" borderId="0" xfId="0" applyFont="1" applyAlignment="1" applyProtection="1">
      <alignment horizontal="left" vertical="top" wrapText="1"/>
      <protection hidden="1"/>
    </xf>
    <xf numFmtId="0" fontId="47" fillId="5" borderId="0" xfId="0" applyFont="1" applyFill="1" applyAlignment="1" applyProtection="1">
      <alignment horizontal="center" vertical="top" wrapText="1"/>
      <protection locked="0" hidden="1"/>
    </xf>
    <xf numFmtId="0" fontId="43" fillId="0" borderId="0" xfId="0" applyFont="1" applyAlignment="1" applyProtection="1">
      <alignment horizontal="center" wrapText="1"/>
      <protection hidden="1"/>
    </xf>
    <xf numFmtId="1" fontId="47" fillId="4" borderId="0" xfId="0" applyNumberFormat="1" applyFont="1" applyFill="1" applyAlignment="1" applyProtection="1">
      <alignment horizontal="center" vertical="center" wrapText="1"/>
      <protection locked="0" hidden="1"/>
    </xf>
    <xf numFmtId="0" fontId="47" fillId="4" borderId="0" xfId="0" applyFont="1" applyFill="1" applyAlignment="1" applyProtection="1">
      <alignment horizontal="left" vertical="center"/>
      <protection locked="0" hidden="1"/>
    </xf>
    <xf numFmtId="0" fontId="47" fillId="7" borderId="13" xfId="0" applyFont="1" applyFill="1" applyBorder="1" applyAlignment="1" applyProtection="1">
      <alignment horizontal="center" vertical="center"/>
      <protection locked="0" hidden="1"/>
    </xf>
    <xf numFmtId="0" fontId="47" fillId="7" borderId="14" xfId="0" applyFont="1" applyFill="1" applyBorder="1" applyAlignment="1" applyProtection="1">
      <alignment horizontal="center" vertical="center"/>
      <protection locked="0" hidden="1"/>
    </xf>
    <xf numFmtId="0" fontId="47" fillId="7" borderId="15" xfId="0" applyFont="1" applyFill="1" applyBorder="1" applyAlignment="1" applyProtection="1">
      <alignment horizontal="center" vertical="center"/>
      <protection locked="0" hidden="1"/>
    </xf>
    <xf numFmtId="0" fontId="3" fillId="0" borderId="0" xfId="0" applyFont="1" applyAlignment="1" applyProtection="1">
      <alignment horizontal="center"/>
      <protection hidden="1"/>
    </xf>
    <xf numFmtId="0" fontId="47" fillId="4" borderId="0" xfId="0" applyFont="1" applyFill="1" applyAlignment="1" applyProtection="1">
      <alignment horizontal="center" vertical="center"/>
      <protection locked="0" hidden="1"/>
    </xf>
    <xf numFmtId="0" fontId="0" fillId="0" borderId="0" xfId="0" applyAlignment="1" applyProtection="1">
      <alignment vertical="center" wrapText="1"/>
      <protection hidden="1"/>
    </xf>
    <xf numFmtId="0" fontId="45" fillId="0" borderId="0" xfId="0" applyFont="1" applyAlignment="1" applyProtection="1">
      <alignment horizontal="left" vertical="top" wrapText="1"/>
      <protection hidden="1"/>
    </xf>
    <xf numFmtId="0" fontId="43" fillId="0" borderId="0" xfId="0" applyFont="1" applyAlignment="1" applyProtection="1">
      <alignment horizontal="left" vertical="center" wrapText="1"/>
      <protection hidden="1"/>
    </xf>
    <xf numFmtId="0" fontId="47" fillId="4" borderId="0" xfId="0" applyFont="1" applyFill="1" applyAlignment="1" applyProtection="1">
      <alignment horizontal="center" vertical="center" wrapText="1"/>
      <protection locked="0" hidden="1"/>
    </xf>
    <xf numFmtId="0" fontId="43" fillId="0" borderId="0" xfId="0" applyFont="1" applyAlignment="1" applyProtection="1">
      <alignment horizontal="center" vertical="center"/>
      <protection hidden="1"/>
    </xf>
    <xf numFmtId="0" fontId="1" fillId="3" borderId="2" xfId="0" applyFont="1" applyFill="1" applyBorder="1" applyAlignment="1" applyProtection="1">
      <alignment horizontal="left"/>
      <protection hidden="1"/>
    </xf>
    <xf numFmtId="0" fontId="44" fillId="7" borderId="13" xfId="0" applyFont="1" applyFill="1" applyBorder="1" applyAlignment="1" applyProtection="1">
      <alignment horizontal="center" vertical="center"/>
      <protection locked="0" hidden="1"/>
    </xf>
    <xf numFmtId="0" fontId="44" fillId="7" borderId="14" xfId="0" applyFont="1" applyFill="1" applyBorder="1" applyAlignment="1" applyProtection="1">
      <alignment horizontal="center" vertical="center"/>
      <protection locked="0" hidden="1"/>
    </xf>
    <xf numFmtId="0" fontId="44" fillId="7" borderId="15" xfId="0" applyFont="1" applyFill="1" applyBorder="1" applyAlignment="1" applyProtection="1">
      <alignment horizontal="center" vertical="center"/>
      <protection locked="0" hidden="1"/>
    </xf>
    <xf numFmtId="0" fontId="43" fillId="0" borderId="0" xfId="0" applyFont="1" applyAlignment="1" applyProtection="1">
      <alignment horizontal="left" wrapText="1"/>
      <protection hidden="1"/>
    </xf>
    <xf numFmtId="0" fontId="54" fillId="4" borderId="0" xfId="0" applyFont="1" applyFill="1" applyAlignment="1" applyProtection="1">
      <alignment horizontal="left" wrapText="1"/>
      <protection locked="0" hidden="1"/>
    </xf>
    <xf numFmtId="0" fontId="43" fillId="4" borderId="0" xfId="0" applyFont="1" applyFill="1" applyAlignment="1" applyProtection="1">
      <alignment horizontal="center"/>
      <protection locked="0" hidden="1"/>
    </xf>
    <xf numFmtId="0" fontId="45" fillId="0" borderId="0" xfId="0" applyFont="1" applyAlignment="1" applyProtection="1">
      <alignment horizontal="left" vertical="top"/>
      <protection hidden="1"/>
    </xf>
    <xf numFmtId="0" fontId="5" fillId="4" borderId="0" xfId="0" applyFont="1" applyFill="1" applyAlignment="1" applyProtection="1">
      <alignment horizontal="left"/>
      <protection locked="0" hidden="1"/>
    </xf>
    <xf numFmtId="0" fontId="46" fillId="3" borderId="2" xfId="0" applyFont="1" applyFill="1" applyBorder="1" applyAlignment="1" applyProtection="1">
      <alignment horizontal="left" vertical="center"/>
      <protection hidden="1"/>
    </xf>
    <xf numFmtId="165" fontId="47" fillId="4" borderId="0" xfId="1" applyNumberFormat="1" applyFont="1" applyFill="1" applyBorder="1" applyAlignment="1" applyProtection="1">
      <alignment horizontal="center"/>
      <protection locked="0" hidden="1"/>
    </xf>
    <xf numFmtId="0" fontId="48" fillId="4" borderId="0" xfId="0" applyFont="1" applyFill="1" applyAlignment="1" applyProtection="1">
      <alignment horizontal="center" vertical="center"/>
      <protection locked="0" hidden="1"/>
    </xf>
    <xf numFmtId="0" fontId="54" fillId="5" borderId="13" xfId="0" applyFont="1" applyFill="1" applyBorder="1" applyAlignment="1" applyProtection="1">
      <alignment horizontal="center" vertical="center"/>
      <protection locked="0" hidden="1"/>
    </xf>
    <xf numFmtId="0" fontId="54" fillId="5" borderId="14" xfId="0" applyFont="1" applyFill="1" applyBorder="1" applyAlignment="1" applyProtection="1">
      <alignment horizontal="center" vertical="center"/>
      <protection locked="0" hidden="1"/>
    </xf>
    <xf numFmtId="0" fontId="54" fillId="5" borderId="15" xfId="0" applyFont="1" applyFill="1" applyBorder="1" applyAlignment="1" applyProtection="1">
      <alignment horizontal="center" vertical="center"/>
      <protection locked="0" hidden="1"/>
    </xf>
    <xf numFmtId="0" fontId="43" fillId="0" borderId="0" xfId="0" applyFont="1" applyAlignment="1" applyProtection="1">
      <alignment horizontal="left" vertical="center"/>
      <protection hidden="1"/>
    </xf>
    <xf numFmtId="10" fontId="48" fillId="4" borderId="0" xfId="0" applyNumberFormat="1" applyFont="1" applyFill="1" applyAlignment="1" applyProtection="1">
      <alignment horizontal="left" vertical="center" wrapText="1"/>
      <protection locked="0" hidden="1"/>
    </xf>
    <xf numFmtId="0" fontId="48" fillId="4" borderId="0" xfId="0" applyFont="1" applyFill="1" applyAlignment="1" applyProtection="1">
      <alignment horizontal="left" vertical="center" wrapText="1"/>
      <protection locked="0" hidden="1"/>
    </xf>
    <xf numFmtId="0" fontId="57" fillId="4" borderId="0" xfId="0" applyFont="1" applyFill="1" applyAlignment="1" applyProtection="1">
      <alignment horizontal="center" vertical="center"/>
      <protection locked="0" hidden="1"/>
    </xf>
    <xf numFmtId="165" fontId="5" fillId="4" borderId="0" xfId="1" applyNumberFormat="1" applyFont="1" applyFill="1" applyBorder="1" applyAlignment="1" applyProtection="1">
      <alignment horizontal="center" vertical="center"/>
      <protection locked="0" hidden="1"/>
    </xf>
    <xf numFmtId="0" fontId="45" fillId="0" borderId="0" xfId="0" applyFont="1" applyAlignment="1" applyProtection="1">
      <alignment horizontal="center" vertical="top"/>
      <protection hidden="1"/>
    </xf>
    <xf numFmtId="0" fontId="47" fillId="4" borderId="13" xfId="0" applyFont="1" applyFill="1" applyBorder="1" applyAlignment="1" applyProtection="1">
      <alignment horizontal="left"/>
      <protection locked="0" hidden="1"/>
    </xf>
    <xf numFmtId="0" fontId="47" fillId="4" borderId="14" xfId="0" applyFont="1" applyFill="1" applyBorder="1" applyAlignment="1" applyProtection="1">
      <alignment horizontal="left"/>
      <protection locked="0" hidden="1"/>
    </xf>
    <xf numFmtId="0" fontId="47" fillId="4" borderId="15" xfId="0" applyFont="1" applyFill="1" applyBorder="1" applyAlignment="1" applyProtection="1">
      <alignment horizontal="left"/>
      <protection locked="0" hidden="1"/>
    </xf>
    <xf numFmtId="165" fontId="47" fillId="4" borderId="13" xfId="1" applyNumberFormat="1" applyFont="1" applyFill="1" applyBorder="1" applyAlignment="1" applyProtection="1">
      <alignment horizontal="center"/>
      <protection locked="0" hidden="1"/>
    </xf>
    <xf numFmtId="165" fontId="47" fillId="4" borderId="14" xfId="1" applyNumberFormat="1" applyFont="1" applyFill="1" applyBorder="1" applyAlignment="1" applyProtection="1">
      <alignment horizontal="center"/>
      <protection locked="0" hidden="1"/>
    </xf>
    <xf numFmtId="165" fontId="47" fillId="4" borderId="15" xfId="1" applyNumberFormat="1" applyFont="1" applyFill="1" applyBorder="1" applyAlignment="1" applyProtection="1">
      <alignment horizontal="center"/>
      <protection locked="0" hidden="1"/>
    </xf>
    <xf numFmtId="0" fontId="47" fillId="5" borderId="13" xfId="0" applyFont="1" applyFill="1" applyBorder="1" applyAlignment="1" applyProtection="1">
      <alignment horizontal="center" vertical="center"/>
      <protection locked="0" hidden="1"/>
    </xf>
    <xf numFmtId="0" fontId="47" fillId="5" borderId="14" xfId="0" applyFont="1" applyFill="1" applyBorder="1" applyAlignment="1" applyProtection="1">
      <alignment horizontal="center" vertical="center"/>
      <protection locked="0" hidden="1"/>
    </xf>
    <xf numFmtId="0" fontId="47" fillId="5" borderId="15" xfId="0" applyFont="1" applyFill="1" applyBorder="1" applyAlignment="1" applyProtection="1">
      <alignment horizontal="center" vertical="center"/>
      <protection locked="0" hidden="1"/>
    </xf>
    <xf numFmtId="0" fontId="5" fillId="4" borderId="0" xfId="0" applyFont="1" applyFill="1" applyAlignment="1" applyProtection="1">
      <alignment horizontal="center" vertical="center"/>
      <protection locked="0" hidden="1"/>
    </xf>
    <xf numFmtId="0" fontId="50" fillId="0" borderId="21" xfId="0" applyFont="1" applyBorder="1" applyAlignment="1" applyProtection="1">
      <alignment horizontal="center" vertical="center" wrapText="1"/>
      <protection hidden="1"/>
    </xf>
    <xf numFmtId="0" fontId="21" fillId="0" borderId="0" xfId="0" applyFont="1" applyAlignment="1" applyProtection="1">
      <alignment horizontal="left"/>
      <protection hidden="1"/>
    </xf>
    <xf numFmtId="0" fontId="21" fillId="0" borderId="0" xfId="0" applyFont="1" applyAlignment="1" applyProtection="1">
      <alignment horizontal="center"/>
      <protection hidden="1"/>
    </xf>
    <xf numFmtId="0" fontId="0" fillId="0" borderId="0" xfId="0" applyAlignment="1" applyProtection="1">
      <alignment horizontal="center"/>
      <protection locked="0" hidden="1"/>
    </xf>
    <xf numFmtId="0" fontId="54" fillId="4" borderId="0" xfId="0" applyFont="1" applyFill="1" applyAlignment="1" applyProtection="1">
      <alignment vertical="top" wrapText="1"/>
      <protection locked="0" hidden="1"/>
    </xf>
    <xf numFmtId="0" fontId="48" fillId="4" borderId="0" xfId="0" applyFont="1" applyFill="1" applyAlignment="1" applyProtection="1">
      <alignment horizontal="left" vertical="top" wrapText="1"/>
      <protection locked="0" hidden="1"/>
    </xf>
    <xf numFmtId="0" fontId="43" fillId="0" borderId="13" xfId="0" applyFont="1" applyBorder="1" applyAlignment="1" applyProtection="1">
      <alignment horizontal="left"/>
      <protection hidden="1"/>
    </xf>
    <xf numFmtId="0" fontId="43" fillId="0" borderId="14" xfId="0" applyFont="1" applyBorder="1" applyAlignment="1" applyProtection="1">
      <alignment horizontal="left"/>
      <protection hidden="1"/>
    </xf>
    <xf numFmtId="0" fontId="43" fillId="0" borderId="15" xfId="0" applyFont="1" applyBorder="1" applyAlignment="1" applyProtection="1">
      <alignment horizontal="left"/>
      <protection hidden="1"/>
    </xf>
    <xf numFmtId="0" fontId="43" fillId="0" borderId="13" xfId="0" applyFont="1" applyBorder="1" applyAlignment="1" applyProtection="1">
      <alignment horizontal="center"/>
      <protection hidden="1"/>
    </xf>
    <xf numFmtId="0" fontId="43" fillId="0" borderId="14" xfId="0" applyFont="1" applyBorder="1" applyAlignment="1" applyProtection="1">
      <alignment horizontal="center"/>
      <protection hidden="1"/>
    </xf>
    <xf numFmtId="0" fontId="43" fillId="0" borderId="15" xfId="0" applyFont="1" applyBorder="1" applyAlignment="1" applyProtection="1">
      <alignment horizontal="center"/>
      <protection hidden="1"/>
    </xf>
    <xf numFmtId="165" fontId="44" fillId="0" borderId="13" xfId="1" applyNumberFormat="1" applyFont="1" applyBorder="1" applyAlignment="1" applyProtection="1">
      <alignment horizontal="center"/>
      <protection hidden="1"/>
    </xf>
    <xf numFmtId="165" fontId="44" fillId="0" borderId="14" xfId="1" applyNumberFormat="1" applyFont="1" applyBorder="1" applyAlignment="1" applyProtection="1">
      <alignment horizontal="center"/>
      <protection hidden="1"/>
    </xf>
    <xf numFmtId="165" fontId="44" fillId="0" borderId="15" xfId="1" applyNumberFormat="1" applyFont="1" applyBorder="1" applyAlignment="1" applyProtection="1">
      <alignment horizontal="center"/>
      <protection hidden="1"/>
    </xf>
    <xf numFmtId="0" fontId="31" fillId="12" borderId="0" xfId="0" applyFont="1" applyFill="1" applyAlignment="1" applyProtection="1">
      <alignment horizontal="center"/>
      <protection hidden="1"/>
    </xf>
    <xf numFmtId="0" fontId="31" fillId="12" borderId="25" xfId="0" applyFont="1" applyFill="1" applyBorder="1" applyAlignment="1" applyProtection="1">
      <alignment horizontal="center"/>
      <protection hidden="1"/>
    </xf>
    <xf numFmtId="0" fontId="0" fillId="0" borderId="0" xfId="0" applyAlignment="1" applyProtection="1">
      <alignment horizontal="left"/>
      <protection hidden="1"/>
    </xf>
    <xf numFmtId="14" fontId="28" fillId="4" borderId="13" xfId="0" applyNumberFormat="1" applyFont="1" applyFill="1" applyBorder="1" applyAlignment="1" applyProtection="1">
      <alignment horizontal="center"/>
      <protection locked="0" hidden="1"/>
    </xf>
    <xf numFmtId="14" fontId="28" fillId="4" borderId="15" xfId="0" applyNumberFormat="1" applyFont="1" applyFill="1" applyBorder="1" applyAlignment="1" applyProtection="1">
      <alignment horizontal="center"/>
      <protection locked="0" hidden="1"/>
    </xf>
    <xf numFmtId="0" fontId="0" fillId="0" borderId="16" xfId="0" applyBorder="1" applyAlignment="1" applyProtection="1">
      <alignment horizontal="right"/>
      <protection hidden="1"/>
    </xf>
    <xf numFmtId="0" fontId="0" fillId="0" borderId="0" xfId="0" applyAlignment="1" applyProtection="1">
      <alignment horizontal="right"/>
      <protection hidden="1"/>
    </xf>
    <xf numFmtId="0" fontId="0" fillId="0" borderId="13" xfId="0" applyBorder="1" applyAlignment="1" applyProtection="1">
      <alignment horizontal="left"/>
      <protection hidden="1"/>
    </xf>
    <xf numFmtId="0" fontId="0" fillId="0" borderId="14" xfId="0" applyBorder="1" applyAlignment="1" applyProtection="1">
      <alignment horizontal="left"/>
      <protection hidden="1"/>
    </xf>
    <xf numFmtId="0" fontId="0" fillId="0" borderId="15" xfId="0" applyBorder="1" applyAlignment="1" applyProtection="1">
      <alignment horizontal="left"/>
      <protection hidden="1"/>
    </xf>
    <xf numFmtId="0" fontId="0" fillId="0" borderId="13" xfId="0" applyBorder="1" applyAlignment="1" applyProtection="1">
      <alignment horizontal="center"/>
      <protection hidden="1"/>
    </xf>
    <xf numFmtId="0" fontId="0" fillId="0" borderId="14" xfId="0" applyBorder="1" applyAlignment="1" applyProtection="1">
      <alignment horizontal="center"/>
      <protection hidden="1"/>
    </xf>
    <xf numFmtId="0" fontId="0" fillId="0" borderId="15" xfId="0" applyBorder="1" applyAlignment="1" applyProtection="1">
      <alignment horizontal="center"/>
      <protection hidden="1"/>
    </xf>
    <xf numFmtId="0" fontId="3" fillId="3" borderId="0" xfId="0" applyFont="1" applyFill="1" applyAlignment="1" applyProtection="1">
      <alignment horizontal="left"/>
      <protection hidden="1"/>
    </xf>
    <xf numFmtId="0" fontId="6" fillId="0" borderId="16" xfId="0" applyFont="1" applyBorder="1" applyAlignment="1" applyProtection="1">
      <alignment horizontal="left"/>
      <protection hidden="1"/>
    </xf>
    <xf numFmtId="0" fontId="6" fillId="0" borderId="0" xfId="0" applyFont="1" applyAlignment="1" applyProtection="1">
      <alignment horizontal="left"/>
      <protection hidden="1"/>
    </xf>
    <xf numFmtId="0" fontId="6" fillId="0" borderId="25" xfId="0" applyFont="1" applyBorder="1" applyAlignment="1" applyProtection="1">
      <alignment horizontal="left"/>
      <protection hidden="1"/>
    </xf>
    <xf numFmtId="0" fontId="6" fillId="0" borderId="13" xfId="0" applyFont="1" applyBorder="1" applyAlignment="1" applyProtection="1">
      <alignment horizontal="left"/>
      <protection hidden="1"/>
    </xf>
    <xf numFmtId="0" fontId="6" fillId="0" borderId="14" xfId="0" applyFont="1" applyBorder="1" applyAlignment="1" applyProtection="1">
      <alignment horizontal="left"/>
      <protection hidden="1"/>
    </xf>
    <xf numFmtId="0" fontId="6" fillId="0" borderId="15" xfId="0" applyFont="1" applyBorder="1" applyAlignment="1" applyProtection="1">
      <alignment horizontal="left"/>
      <protection hidden="1"/>
    </xf>
    <xf numFmtId="0" fontId="0" fillId="5" borderId="26" xfId="0" applyFill="1" applyBorder="1" applyAlignment="1" applyProtection="1">
      <alignment horizontal="center"/>
      <protection hidden="1"/>
    </xf>
    <xf numFmtId="0" fontId="0" fillId="13" borderId="0" xfId="0" applyFill="1" applyAlignment="1" applyProtection="1">
      <alignment horizontal="left"/>
      <protection hidden="1"/>
    </xf>
    <xf numFmtId="167" fontId="0" fillId="13" borderId="0" xfId="0" applyNumberFormat="1" applyFill="1" applyAlignment="1" applyProtection="1">
      <alignment horizontal="right" indent="1"/>
      <protection locked="0" hidden="1"/>
    </xf>
    <xf numFmtId="167" fontId="24" fillId="0" borderId="9" xfId="1" applyNumberFormat="1" applyFont="1" applyFill="1" applyBorder="1" applyAlignment="1" applyProtection="1">
      <alignment horizontal="right" indent="1"/>
      <protection hidden="1"/>
    </xf>
    <xf numFmtId="167" fontId="24" fillId="0" borderId="10" xfId="1" applyNumberFormat="1" applyFont="1" applyFill="1" applyBorder="1" applyAlignment="1" applyProtection="1">
      <alignment horizontal="right" indent="1"/>
      <protection hidden="1"/>
    </xf>
    <xf numFmtId="167" fontId="24" fillId="0" borderId="17" xfId="1" applyNumberFormat="1" applyFont="1" applyFill="1" applyBorder="1" applyAlignment="1" applyProtection="1">
      <alignment horizontal="right" indent="1"/>
      <protection hidden="1"/>
    </xf>
    <xf numFmtId="0" fontId="0" fillId="0" borderId="27" xfId="0" applyBorder="1" applyAlignment="1" applyProtection="1">
      <alignment horizontal="center"/>
      <protection hidden="1"/>
    </xf>
    <xf numFmtId="0" fontId="0" fillId="0" borderId="11" xfId="0" applyBorder="1" applyAlignment="1" applyProtection="1">
      <alignment horizontal="center"/>
      <protection hidden="1"/>
    </xf>
    <xf numFmtId="0" fontId="0" fillId="0" borderId="12" xfId="0" applyBorder="1" applyAlignment="1" applyProtection="1">
      <alignment horizontal="center"/>
      <protection hidden="1"/>
    </xf>
    <xf numFmtId="167" fontId="24" fillId="0" borderId="13" xfId="1" applyNumberFormat="1" applyFont="1" applyFill="1" applyBorder="1" applyAlignment="1" applyProtection="1">
      <alignment horizontal="right" indent="1"/>
      <protection hidden="1"/>
    </xf>
    <xf numFmtId="167" fontId="24" fillId="0" borderId="14" xfId="1" applyNumberFormat="1" applyFont="1" applyFill="1" applyBorder="1" applyAlignment="1" applyProtection="1">
      <alignment horizontal="right" indent="1"/>
      <protection hidden="1"/>
    </xf>
    <xf numFmtId="167" fontId="24" fillId="0" borderId="15" xfId="1" applyNumberFormat="1" applyFont="1" applyFill="1" applyBorder="1" applyAlignment="1" applyProtection="1">
      <alignment horizontal="right" indent="1"/>
      <protection hidden="1"/>
    </xf>
    <xf numFmtId="167" fontId="24" fillId="4" borderId="13" xfId="1" applyNumberFormat="1" applyFont="1" applyFill="1" applyBorder="1" applyAlignment="1" applyProtection="1">
      <alignment horizontal="right" indent="1"/>
      <protection locked="0" hidden="1"/>
    </xf>
    <xf numFmtId="167" fontId="24" fillId="4" borderId="14" xfId="1" applyNumberFormat="1" applyFont="1" applyFill="1" applyBorder="1" applyAlignment="1" applyProtection="1">
      <alignment horizontal="right" indent="1"/>
      <protection locked="0" hidden="1"/>
    </xf>
    <xf numFmtId="167" fontId="24" fillId="4" borderId="15" xfId="1" applyNumberFormat="1" applyFont="1" applyFill="1" applyBorder="1" applyAlignment="1" applyProtection="1">
      <alignment horizontal="right" indent="1"/>
      <protection locked="0" hidden="1"/>
    </xf>
    <xf numFmtId="0" fontId="0" fillId="0" borderId="12" xfId="0" applyBorder="1" applyAlignment="1" applyProtection="1">
      <alignment horizontal="left"/>
      <protection hidden="1"/>
    </xf>
    <xf numFmtId="0" fontId="0" fillId="9" borderId="29" xfId="0" applyFill="1" applyBorder="1" applyAlignment="1" applyProtection="1">
      <alignment horizontal="center"/>
      <protection hidden="1"/>
    </xf>
    <xf numFmtId="0" fontId="0" fillId="9" borderId="30" xfId="0" applyFill="1" applyBorder="1" applyAlignment="1" applyProtection="1">
      <alignment horizontal="center"/>
      <protection hidden="1"/>
    </xf>
    <xf numFmtId="0" fontId="0" fillId="9" borderId="31" xfId="0" applyFill="1" applyBorder="1" applyAlignment="1" applyProtection="1">
      <alignment horizontal="center"/>
      <protection hidden="1"/>
    </xf>
    <xf numFmtId="167" fontId="0" fillId="4" borderId="9" xfId="0" applyNumberFormat="1" applyFill="1" applyBorder="1" applyAlignment="1" applyProtection="1">
      <alignment horizontal="right" indent="2"/>
      <protection locked="0" hidden="1"/>
    </xf>
    <xf numFmtId="167" fontId="0" fillId="4" borderId="10" xfId="0" applyNumberFormat="1" applyFill="1" applyBorder="1" applyAlignment="1" applyProtection="1">
      <alignment horizontal="right" indent="2"/>
      <protection locked="0" hidden="1"/>
    </xf>
    <xf numFmtId="167" fontId="0" fillId="4" borderId="17" xfId="0" applyNumberFormat="1" applyFill="1" applyBorder="1" applyAlignment="1" applyProtection="1">
      <alignment horizontal="right" indent="2"/>
      <protection locked="0" hidden="1"/>
    </xf>
    <xf numFmtId="167" fontId="0" fillId="4" borderId="21" xfId="0" applyNumberFormat="1" applyFill="1" applyBorder="1" applyAlignment="1" applyProtection="1">
      <alignment horizontal="right" indent="2"/>
      <protection locked="0" hidden="1"/>
    </xf>
    <xf numFmtId="0" fontId="0" fillId="9" borderId="28" xfId="0" applyFill="1" applyBorder="1" applyAlignment="1" applyProtection="1">
      <alignment horizontal="center"/>
      <protection hidden="1"/>
    </xf>
    <xf numFmtId="166" fontId="0" fillId="4" borderId="26" xfId="1" applyNumberFormat="1" applyFont="1" applyFill="1" applyBorder="1" applyAlignment="1" applyProtection="1">
      <alignment horizontal="center"/>
      <protection locked="0" hidden="1"/>
    </xf>
    <xf numFmtId="167" fontId="24" fillId="0" borderId="26" xfId="1" applyNumberFormat="1" applyFont="1" applyFill="1" applyBorder="1" applyAlignment="1" applyProtection="1">
      <alignment horizontal="right"/>
      <protection hidden="1"/>
    </xf>
    <xf numFmtId="166" fontId="0" fillId="4" borderId="21" xfId="1" applyNumberFormat="1" applyFont="1" applyFill="1" applyBorder="1" applyAlignment="1" applyProtection="1">
      <alignment horizontal="center"/>
      <protection locked="0" hidden="1"/>
    </xf>
    <xf numFmtId="167" fontId="24" fillId="0" borderId="21" xfId="1" applyNumberFormat="1" applyFont="1" applyFill="1" applyBorder="1" applyAlignment="1" applyProtection="1">
      <alignment horizontal="right"/>
      <protection hidden="1"/>
    </xf>
    <xf numFmtId="166" fontId="0" fillId="4" borderId="22" xfId="1" applyNumberFormat="1" applyFont="1" applyFill="1" applyBorder="1" applyAlignment="1" applyProtection="1">
      <alignment horizontal="center"/>
      <protection locked="0" hidden="1"/>
    </xf>
    <xf numFmtId="0" fontId="0" fillId="0" borderId="10" xfId="0" applyBorder="1" applyAlignment="1" applyProtection="1">
      <alignment horizontal="left"/>
      <protection hidden="1"/>
    </xf>
    <xf numFmtId="0" fontId="0" fillId="0" borderId="17" xfId="0" applyBorder="1" applyAlignment="1" applyProtection="1">
      <alignment horizontal="left"/>
      <protection hidden="1"/>
    </xf>
    <xf numFmtId="167" fontId="3" fillId="0" borderId="13" xfId="0" applyNumberFormat="1" applyFont="1" applyBorder="1" applyAlignment="1" applyProtection="1">
      <alignment horizontal="right"/>
      <protection hidden="1"/>
    </xf>
    <xf numFmtId="167" fontId="3" fillId="0" borderId="14" xfId="0" applyNumberFormat="1" applyFont="1" applyBorder="1" applyAlignment="1" applyProtection="1">
      <alignment horizontal="right"/>
      <protection hidden="1"/>
    </xf>
    <xf numFmtId="167" fontId="3" fillId="0" borderId="15" xfId="0" applyNumberFormat="1" applyFont="1" applyBorder="1" applyAlignment="1" applyProtection="1">
      <alignment horizontal="right"/>
      <protection hidden="1"/>
    </xf>
    <xf numFmtId="0" fontId="24" fillId="13" borderId="0" xfId="0" applyFont="1" applyFill="1" applyAlignment="1" applyProtection="1">
      <alignment horizontal="right"/>
      <protection hidden="1"/>
    </xf>
    <xf numFmtId="0" fontId="24" fillId="13" borderId="0" xfId="0" applyFont="1" applyFill="1" applyAlignment="1" applyProtection="1">
      <alignment horizontal="center"/>
      <protection locked="0" hidden="1"/>
    </xf>
    <xf numFmtId="0" fontId="37" fillId="13" borderId="0" xfId="0" applyFont="1" applyFill="1" applyAlignment="1" applyProtection="1">
      <alignment horizontal="center" vertical="center"/>
      <protection hidden="1"/>
    </xf>
    <xf numFmtId="0" fontId="33" fillId="13" borderId="0" xfId="0" applyFont="1" applyFill="1" applyAlignment="1" applyProtection="1">
      <alignment horizontal="center"/>
      <protection hidden="1"/>
    </xf>
    <xf numFmtId="0" fontId="33" fillId="13" borderId="0" xfId="0" applyFont="1" applyFill="1" applyAlignment="1" applyProtection="1">
      <alignment horizontal="center" vertical="center"/>
      <protection hidden="1"/>
    </xf>
    <xf numFmtId="0" fontId="28" fillId="13" borderId="0" xfId="0" applyFont="1" applyFill="1" applyAlignment="1" applyProtection="1">
      <alignment horizontal="center"/>
      <protection hidden="1"/>
    </xf>
    <xf numFmtId="0" fontId="34" fillId="13" borderId="0" xfId="0" applyFont="1" applyFill="1" applyAlignment="1" applyProtection="1">
      <alignment horizontal="left"/>
      <protection locked="0" hidden="1"/>
    </xf>
    <xf numFmtId="166" fontId="34" fillId="13" borderId="0" xfId="1" applyNumberFormat="1" applyFont="1" applyFill="1" applyBorder="1" applyAlignment="1" applyProtection="1">
      <alignment horizontal="center"/>
      <protection locked="0" hidden="1"/>
    </xf>
    <xf numFmtId="166" fontId="34" fillId="13" borderId="0" xfId="1" applyNumberFormat="1" applyFont="1" applyFill="1" applyBorder="1" applyAlignment="1" applyProtection="1">
      <alignment horizontal="center" vertical="center"/>
      <protection locked="0" hidden="1"/>
    </xf>
    <xf numFmtId="166" fontId="24" fillId="13" borderId="0" xfId="1" applyNumberFormat="1" applyFont="1" applyFill="1" applyBorder="1" applyAlignment="1" applyProtection="1">
      <alignment horizontal="center"/>
      <protection hidden="1"/>
    </xf>
    <xf numFmtId="0" fontId="28" fillId="13" borderId="0" xfId="0" applyFont="1" applyFill="1" applyAlignment="1" applyProtection="1">
      <alignment horizontal="right"/>
      <protection hidden="1"/>
    </xf>
    <xf numFmtId="166" fontId="28" fillId="13" borderId="0" xfId="0" applyNumberFormat="1" applyFont="1" applyFill="1" applyAlignment="1" applyProtection="1">
      <alignment horizontal="center"/>
      <protection hidden="1"/>
    </xf>
    <xf numFmtId="167" fontId="0" fillId="0" borderId="0" xfId="0" applyNumberFormat="1" applyAlignment="1" applyProtection="1">
      <alignment horizontal="center"/>
      <protection locked="0" hidden="1"/>
    </xf>
    <xf numFmtId="0" fontId="9" fillId="0" borderId="0" xfId="3" applyAlignment="1" applyProtection="1">
      <alignment horizontal="center"/>
      <protection locked="0" hidden="1"/>
    </xf>
    <xf numFmtId="0" fontId="0" fillId="0" borderId="25" xfId="0" applyBorder="1" applyAlignment="1" applyProtection="1">
      <alignment horizontal="left"/>
      <protection hidden="1"/>
    </xf>
    <xf numFmtId="0" fontId="2" fillId="12" borderId="0" xfId="0" applyFont="1" applyFill="1" applyAlignment="1" applyProtection="1">
      <alignment horizontal="center"/>
      <protection hidden="1"/>
    </xf>
    <xf numFmtId="0" fontId="3" fillId="13" borderId="0" xfId="0" applyFont="1" applyFill="1" applyAlignment="1" applyProtection="1">
      <alignment horizontal="center"/>
      <protection hidden="1"/>
    </xf>
    <xf numFmtId="0" fontId="39" fillId="13" borderId="0" xfId="0" applyFont="1" applyFill="1" applyAlignment="1" applyProtection="1">
      <alignment horizontal="center"/>
      <protection hidden="1"/>
    </xf>
    <xf numFmtId="0" fontId="39" fillId="13" borderId="0" xfId="0" applyFont="1" applyFill="1" applyAlignment="1" applyProtection="1">
      <alignment horizontal="center" vertical="center"/>
      <protection hidden="1"/>
    </xf>
    <xf numFmtId="0" fontId="6" fillId="13" borderId="0" xfId="0" applyFont="1" applyFill="1" applyAlignment="1" applyProtection="1">
      <alignment horizontal="left"/>
      <protection locked="0" hidden="1"/>
    </xf>
    <xf numFmtId="166" fontId="6" fillId="13" borderId="0" xfId="1" applyNumberFormat="1" applyFont="1" applyFill="1" applyBorder="1" applyAlignment="1" applyProtection="1">
      <alignment horizontal="center"/>
      <protection locked="0" hidden="1"/>
    </xf>
    <xf numFmtId="167" fontId="0" fillId="13" borderId="0" xfId="1" applyNumberFormat="1" applyFont="1" applyFill="1" applyBorder="1" applyAlignment="1" applyProtection="1">
      <alignment horizontal="right" indent="1"/>
      <protection hidden="1"/>
    </xf>
    <xf numFmtId="167" fontId="3" fillId="13" borderId="0" xfId="0" applyNumberFormat="1" applyFont="1" applyFill="1" applyAlignment="1" applyProtection="1">
      <alignment horizontal="right" indent="1"/>
      <protection hidden="1"/>
    </xf>
    <xf numFmtId="167" fontId="0" fillId="0" borderId="0" xfId="0" applyNumberFormat="1" applyAlignment="1" applyProtection="1">
      <alignment horizontal="right"/>
      <protection locked="0" hidden="1"/>
    </xf>
    <xf numFmtId="0" fontId="0" fillId="13" borderId="0" xfId="0" applyFill="1" applyAlignment="1" applyProtection="1">
      <alignment horizontal="right"/>
      <protection hidden="1"/>
    </xf>
    <xf numFmtId="167" fontId="0" fillId="13" borderId="0" xfId="0" applyNumberFormat="1" applyFill="1" applyAlignment="1" applyProtection="1">
      <alignment horizontal="right"/>
      <protection locked="0" hidden="1"/>
    </xf>
    <xf numFmtId="169" fontId="0" fillId="0" borderId="0" xfId="0" applyNumberFormat="1" applyAlignment="1" applyProtection="1">
      <alignment horizontal="right"/>
      <protection locked="0" hidden="1"/>
    </xf>
    <xf numFmtId="0" fontId="3" fillId="3" borderId="25" xfId="0" applyFont="1" applyFill="1" applyBorder="1" applyAlignment="1" applyProtection="1">
      <alignment horizontal="left"/>
      <protection hidden="1"/>
    </xf>
    <xf numFmtId="0" fontId="40" fillId="0" borderId="0" xfId="0" applyFont="1" applyAlignment="1" applyProtection="1">
      <alignment horizontal="left" vertical="top"/>
      <protection hidden="1"/>
    </xf>
    <xf numFmtId="0" fontId="40" fillId="0" borderId="25" xfId="0" applyFont="1" applyBorder="1" applyAlignment="1" applyProtection="1">
      <alignment horizontal="left" vertical="top"/>
      <protection hidden="1"/>
    </xf>
    <xf numFmtId="0" fontId="8" fillId="13" borderId="0" xfId="0" applyFont="1" applyFill="1" applyAlignment="1" applyProtection="1">
      <alignment horizontal="left"/>
      <protection hidden="1"/>
    </xf>
    <xf numFmtId="0" fontId="3" fillId="13" borderId="0" xfId="0" applyFont="1" applyFill="1" applyAlignment="1" applyProtection="1">
      <alignment horizontal="center" vertical="center"/>
      <protection hidden="1"/>
    </xf>
    <xf numFmtId="0" fontId="21" fillId="0" borderId="16" xfId="0" applyFont="1" applyBorder="1" applyAlignment="1" applyProtection="1">
      <alignment horizontal="center"/>
      <protection hidden="1"/>
    </xf>
    <xf numFmtId="0" fontId="21" fillId="0" borderId="25" xfId="0" applyFont="1" applyBorder="1" applyAlignment="1" applyProtection="1">
      <alignment horizontal="center"/>
      <protection hidden="1"/>
    </xf>
    <xf numFmtId="0" fontId="0" fillId="0" borderId="16" xfId="0" applyBorder="1" applyAlignment="1" applyProtection="1">
      <alignment horizontal="center"/>
      <protection locked="0" hidden="1"/>
    </xf>
    <xf numFmtId="0" fontId="0" fillId="0" borderId="11" xfId="0"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0" borderId="25" xfId="0" applyBorder="1" applyAlignment="1" applyProtection="1">
      <alignment horizontal="center"/>
      <protection locked="0" hidden="1"/>
    </xf>
    <xf numFmtId="0" fontId="0" fillId="0" borderId="24" xfId="0" applyBorder="1" applyAlignment="1" applyProtection="1">
      <alignment horizontal="center"/>
      <protection locked="0" hidden="1"/>
    </xf>
    <xf numFmtId="0" fontId="27" fillId="0" borderId="0" xfId="3" applyFont="1" applyAlignment="1" applyProtection="1">
      <alignment horizontal="center" vertical="center"/>
      <protection locked="0" hidden="1"/>
    </xf>
    <xf numFmtId="0" fontId="0" fillId="0" borderId="0" xfId="0" applyAlignment="1" applyProtection="1">
      <alignment horizontal="center" vertical="center" wrapText="1"/>
      <protection hidden="1"/>
    </xf>
    <xf numFmtId="0" fontId="2" fillId="2" borderId="0" xfId="0" applyFont="1" applyFill="1" applyAlignment="1">
      <alignment horizontal="center"/>
    </xf>
    <xf numFmtId="0" fontId="0" fillId="0" borderId="0" xfId="0" applyAlignment="1">
      <alignment horizontal="left"/>
    </xf>
    <xf numFmtId="0" fontId="0" fillId="0" borderId="0" xfId="0" applyAlignment="1">
      <alignment horizontal="center"/>
    </xf>
    <xf numFmtId="0" fontId="18" fillId="0" borderId="0" xfId="0" applyFont="1" applyAlignment="1">
      <alignment horizontal="left"/>
    </xf>
    <xf numFmtId="14" fontId="0" fillId="0" borderId="0" xfId="0" applyNumberFormat="1" applyAlignment="1">
      <alignment horizontal="left"/>
    </xf>
    <xf numFmtId="14" fontId="0" fillId="0" borderId="0" xfId="0" applyNumberFormat="1" applyAlignment="1">
      <alignment horizontal="center"/>
    </xf>
    <xf numFmtId="0" fontId="7" fillId="0" borderId="0" xfId="0" applyFont="1" applyAlignment="1">
      <alignment horizontal="left" vertical="center"/>
    </xf>
    <xf numFmtId="0" fontId="10" fillId="0" borderId="0" xfId="0" applyFont="1" applyAlignment="1">
      <alignment horizontal="left" vertical="center"/>
    </xf>
    <xf numFmtId="0" fontId="0" fillId="7" borderId="13" xfId="0" applyFill="1" applyBorder="1" applyAlignment="1" applyProtection="1">
      <alignment horizontal="center"/>
      <protection locked="0"/>
    </xf>
    <xf numFmtId="0" fontId="0" fillId="7" borderId="14" xfId="0" applyFill="1" applyBorder="1" applyAlignment="1" applyProtection="1">
      <alignment horizontal="center"/>
      <protection locked="0"/>
    </xf>
    <xf numFmtId="0" fontId="0" fillId="7" borderId="15" xfId="0" applyFill="1" applyBorder="1" applyAlignment="1" applyProtection="1">
      <alignment horizontal="center"/>
      <protection locked="0"/>
    </xf>
    <xf numFmtId="0" fontId="8" fillId="0" borderId="0" xfId="0" applyFont="1" applyAlignment="1">
      <alignment horizontal="center" wrapText="1"/>
    </xf>
    <xf numFmtId="0" fontId="0" fillId="0" borderId="12" xfId="0" applyBorder="1" applyAlignment="1">
      <alignment horizontal="center"/>
    </xf>
    <xf numFmtId="0" fontId="17" fillId="0" borderId="10" xfId="0" applyFont="1" applyBorder="1" applyAlignment="1">
      <alignment horizontal="center"/>
    </xf>
    <xf numFmtId="0" fontId="11" fillId="3" borderId="11" xfId="0" applyFont="1" applyFill="1" applyBorder="1" applyAlignment="1" applyProtection="1">
      <alignment horizontal="left" vertical="center" wrapText="1"/>
      <protection hidden="1"/>
    </xf>
    <xf numFmtId="0" fontId="11" fillId="3" borderId="12" xfId="0" applyFont="1" applyFill="1" applyBorder="1" applyAlignment="1" applyProtection="1">
      <alignment horizontal="left" vertical="center" wrapText="1"/>
      <protection hidden="1"/>
    </xf>
    <xf numFmtId="165" fontId="15" fillId="3" borderId="12" xfId="1" applyNumberFormat="1" applyFont="1" applyFill="1" applyBorder="1" applyAlignment="1" applyProtection="1">
      <alignment horizontal="center" vertical="center"/>
      <protection hidden="1"/>
    </xf>
    <xf numFmtId="165" fontId="15" fillId="3" borderId="24" xfId="1" applyNumberFormat="1" applyFont="1" applyFill="1" applyBorder="1" applyAlignment="1" applyProtection="1">
      <alignment horizontal="center" vertical="center"/>
      <protection hidden="1"/>
    </xf>
    <xf numFmtId="0" fontId="12" fillId="0" borderId="13" xfId="0" applyFont="1" applyBorder="1" applyAlignment="1" applyProtection="1">
      <alignment horizontal="left" vertical="center" wrapText="1"/>
      <protection hidden="1"/>
    </xf>
    <xf numFmtId="0" fontId="12" fillId="0" borderId="14" xfId="0" applyFont="1" applyBorder="1" applyAlignment="1" applyProtection="1">
      <alignment horizontal="left" vertical="center" wrapText="1"/>
      <protection hidden="1"/>
    </xf>
    <xf numFmtId="165" fontId="15" fillId="0" borderId="21" xfId="1" applyNumberFormat="1" applyFont="1" applyBorder="1" applyAlignment="1" applyProtection="1">
      <alignment vertical="center"/>
      <protection hidden="1"/>
    </xf>
    <xf numFmtId="165" fontId="15" fillId="4" borderId="21" xfId="1" applyNumberFormat="1" applyFont="1" applyFill="1" applyBorder="1" applyAlignment="1" applyProtection="1">
      <alignment horizontal="center" vertical="center"/>
      <protection locked="0" hidden="1"/>
    </xf>
    <xf numFmtId="0" fontId="0" fillId="4" borderId="21" xfId="0" applyFill="1" applyBorder="1" applyAlignment="1" applyProtection="1">
      <alignment horizontal="center"/>
      <protection locked="0"/>
    </xf>
    <xf numFmtId="0" fontId="13" fillId="0" borderId="14" xfId="0" applyFont="1" applyBorder="1" applyAlignment="1" applyProtection="1">
      <alignment horizontal="left" vertical="center" wrapText="1"/>
      <protection hidden="1"/>
    </xf>
    <xf numFmtId="166" fontId="13" fillId="0" borderId="9" xfId="1" applyNumberFormat="1" applyFont="1" applyBorder="1" applyAlignment="1" applyProtection="1">
      <alignment horizontal="center" vertical="center"/>
      <protection hidden="1"/>
    </xf>
    <xf numFmtId="166" fontId="13" fillId="0" borderId="10" xfId="1" applyNumberFormat="1" applyFont="1" applyBorder="1" applyAlignment="1" applyProtection="1">
      <alignment horizontal="center" vertical="center"/>
      <protection hidden="1"/>
    </xf>
    <xf numFmtId="166" fontId="13" fillId="0" borderId="13" xfId="1" applyNumberFormat="1" applyFont="1" applyBorder="1" applyAlignment="1" applyProtection="1">
      <alignment horizontal="center" vertical="center"/>
      <protection hidden="1"/>
    </xf>
    <xf numFmtId="166" fontId="13" fillId="0" borderId="14" xfId="1" applyNumberFormat="1" applyFont="1" applyBorder="1" applyAlignment="1" applyProtection="1">
      <alignment horizontal="center" vertical="center"/>
      <protection hidden="1"/>
    </xf>
    <xf numFmtId="165" fontId="15" fillId="4" borderId="15" xfId="1" applyNumberFormat="1" applyFont="1" applyFill="1" applyBorder="1" applyAlignment="1" applyProtection="1">
      <alignment horizontal="center" vertical="center"/>
      <protection locked="0" hidden="1"/>
    </xf>
    <xf numFmtId="0" fontId="12" fillId="0" borderId="14" xfId="0" applyFont="1" applyBorder="1" applyAlignment="1" applyProtection="1">
      <alignment horizontal="center" vertical="center" wrapText="1"/>
      <protection hidden="1"/>
    </xf>
    <xf numFmtId="0" fontId="12" fillId="0" borderId="15" xfId="0" applyFont="1" applyBorder="1" applyAlignment="1" applyProtection="1">
      <alignment horizontal="center" vertical="center" wrapText="1"/>
      <protection hidden="1"/>
    </xf>
    <xf numFmtId="0" fontId="19" fillId="0" borderId="21" xfId="0" applyFont="1" applyBorder="1" applyAlignment="1">
      <alignment horizontal="center" vertical="center"/>
    </xf>
    <xf numFmtId="0" fontId="12" fillId="0" borderId="13" xfId="0" applyFont="1" applyBorder="1" applyAlignment="1" applyProtection="1">
      <alignment horizontal="center" vertical="center" wrapText="1"/>
      <protection hidden="1"/>
    </xf>
    <xf numFmtId="165" fontId="15" fillId="0" borderId="21" xfId="1" applyNumberFormat="1" applyFont="1" applyBorder="1" applyAlignment="1" applyProtection="1">
      <alignment horizontal="center" vertical="center"/>
      <protection hidden="1"/>
    </xf>
    <xf numFmtId="0" fontId="0" fillId="0" borderId="21" xfId="0" applyBorder="1" applyAlignment="1">
      <alignment horizontal="center"/>
    </xf>
    <xf numFmtId="0" fontId="11" fillId="3" borderId="13" xfId="0" applyFont="1" applyFill="1" applyBorder="1" applyAlignment="1" applyProtection="1">
      <alignment horizontal="left" vertical="center" wrapText="1"/>
      <protection hidden="1"/>
    </xf>
    <xf numFmtId="0" fontId="11" fillId="3" borderId="14" xfId="0" applyFont="1" applyFill="1" applyBorder="1" applyAlignment="1" applyProtection="1">
      <alignment horizontal="left" vertical="center" wrapText="1"/>
      <protection hidden="1"/>
    </xf>
    <xf numFmtId="0" fontId="11" fillId="3" borderId="15" xfId="0" applyFont="1" applyFill="1" applyBorder="1" applyAlignment="1" applyProtection="1">
      <alignment horizontal="left" vertical="center" wrapText="1"/>
      <protection hidden="1"/>
    </xf>
    <xf numFmtId="0" fontId="11" fillId="3" borderId="13" xfId="0" applyFont="1" applyFill="1" applyBorder="1" applyAlignment="1">
      <alignment horizontal="left"/>
    </xf>
    <xf numFmtId="0" fontId="11" fillId="3" borderId="14" xfId="0" applyFont="1" applyFill="1" applyBorder="1" applyAlignment="1">
      <alignment horizontal="left"/>
    </xf>
    <xf numFmtId="165" fontId="11" fillId="3" borderId="21" xfId="1" applyNumberFormat="1" applyFont="1" applyFill="1" applyBorder="1" applyAlignment="1" applyProtection="1">
      <alignment vertical="center"/>
      <protection hidden="1"/>
    </xf>
    <xf numFmtId="166" fontId="11" fillId="3" borderId="13" xfId="1" applyNumberFormat="1" applyFont="1" applyFill="1" applyBorder="1" applyAlignment="1" applyProtection="1">
      <alignment horizontal="left"/>
    </xf>
    <xf numFmtId="166" fontId="11" fillId="3" borderId="14" xfId="1" applyNumberFormat="1" applyFont="1" applyFill="1" applyBorder="1" applyAlignment="1" applyProtection="1">
      <alignment horizontal="left"/>
    </xf>
    <xf numFmtId="166" fontId="11" fillId="3" borderId="15" xfId="1" applyNumberFormat="1" applyFont="1" applyFill="1" applyBorder="1" applyAlignment="1" applyProtection="1">
      <alignment horizontal="left"/>
    </xf>
    <xf numFmtId="0" fontId="15" fillId="0" borderId="13" xfId="0" applyFont="1" applyBorder="1" applyAlignment="1">
      <alignment horizontal="left"/>
    </xf>
    <xf numFmtId="0" fontId="15" fillId="0" borderId="14" xfId="0" applyFont="1" applyBorder="1" applyAlignment="1">
      <alignment horizontal="left"/>
    </xf>
    <xf numFmtId="0" fontId="15" fillId="0" borderId="15" xfId="0" applyFont="1" applyBorder="1" applyAlignment="1">
      <alignment horizontal="left"/>
    </xf>
    <xf numFmtId="0" fontId="11" fillId="0" borderId="9" xfId="0" applyFont="1" applyBorder="1" applyAlignment="1" applyProtection="1">
      <alignment horizontal="left" vertical="center"/>
      <protection hidden="1"/>
    </xf>
    <xf numFmtId="0" fontId="11" fillId="0" borderId="10" xfId="0" applyFont="1" applyBorder="1" applyAlignment="1" applyProtection="1">
      <alignment horizontal="left" vertical="center"/>
      <protection hidden="1"/>
    </xf>
    <xf numFmtId="0" fontId="17" fillId="0" borderId="17" xfId="0" applyFont="1" applyBorder="1" applyAlignment="1">
      <alignment horizontal="center"/>
    </xf>
    <xf numFmtId="0" fontId="11" fillId="3" borderId="11" xfId="0" applyFont="1" applyFill="1" applyBorder="1" applyAlignment="1" applyProtection="1">
      <alignment horizontal="center" vertical="center" wrapText="1"/>
      <protection hidden="1"/>
    </xf>
    <xf numFmtId="0" fontId="11" fillId="3" borderId="12" xfId="0" applyFont="1" applyFill="1" applyBorder="1" applyAlignment="1" applyProtection="1">
      <alignment horizontal="center" vertical="center" wrapText="1"/>
      <protection hidden="1"/>
    </xf>
    <xf numFmtId="0" fontId="15" fillId="0" borderId="13" xfId="0" applyFont="1" applyBorder="1" applyAlignment="1" applyProtection="1">
      <alignment horizontal="left" vertical="center" wrapText="1"/>
      <protection hidden="1"/>
    </xf>
    <xf numFmtId="0" fontId="15" fillId="0" borderId="14" xfId="0" applyFont="1" applyBorder="1" applyAlignment="1" applyProtection="1">
      <alignment horizontal="left" vertical="center" wrapText="1"/>
      <protection hidden="1"/>
    </xf>
    <xf numFmtId="0" fontId="16" fillId="5" borderId="14" xfId="0" applyFont="1" applyFill="1" applyBorder="1" applyAlignment="1" applyProtection="1">
      <alignment horizontal="center" vertical="center" wrapText="1"/>
      <protection locked="0" hidden="1"/>
    </xf>
    <xf numFmtId="0" fontId="16" fillId="5" borderId="15" xfId="0" applyFont="1" applyFill="1" applyBorder="1" applyAlignment="1" applyProtection="1">
      <alignment horizontal="center" vertical="center" wrapText="1"/>
      <protection locked="0" hidden="1"/>
    </xf>
    <xf numFmtId="166" fontId="15" fillId="0" borderId="21" xfId="1" applyNumberFormat="1" applyFont="1" applyBorder="1" applyAlignment="1" applyProtection="1">
      <alignment horizontal="center" vertical="center"/>
      <protection hidden="1"/>
    </xf>
    <xf numFmtId="166" fontId="15" fillId="4" borderId="21" xfId="1" applyNumberFormat="1" applyFont="1" applyFill="1" applyBorder="1" applyAlignment="1" applyProtection="1">
      <alignment horizontal="center" vertical="center"/>
      <protection locked="0" hidden="1"/>
    </xf>
    <xf numFmtId="0" fontId="13" fillId="0" borderId="13" xfId="0" applyFont="1" applyBorder="1" applyAlignment="1" applyProtection="1">
      <alignment horizontal="left" vertical="center" wrapText="1"/>
      <protection hidden="1"/>
    </xf>
    <xf numFmtId="0" fontId="14" fillId="0" borderId="13" xfId="0" applyFont="1" applyBorder="1" applyAlignment="1" applyProtection="1">
      <alignment horizontal="left" vertical="center" wrapText="1"/>
      <protection hidden="1"/>
    </xf>
    <xf numFmtId="0" fontId="14" fillId="0" borderId="14" xfId="0" applyFont="1" applyBorder="1" applyAlignment="1" applyProtection="1">
      <alignment horizontal="left" vertical="center" wrapText="1"/>
      <protection hidden="1"/>
    </xf>
    <xf numFmtId="166" fontId="11" fillId="0" borderId="21" xfId="1" applyNumberFormat="1" applyFont="1" applyBorder="1" applyAlignment="1" applyProtection="1">
      <alignment horizontal="center" vertical="center"/>
      <protection hidden="1"/>
    </xf>
    <xf numFmtId="166" fontId="11" fillId="0" borderId="21" xfId="1" applyNumberFormat="1" applyFont="1" applyFill="1" applyBorder="1" applyAlignment="1" applyProtection="1">
      <alignment vertical="center"/>
      <protection hidden="1"/>
    </xf>
    <xf numFmtId="0" fontId="13" fillId="0" borderId="15" xfId="0" applyFont="1" applyBorder="1" applyAlignment="1" applyProtection="1">
      <alignment horizontal="left" vertical="center" wrapText="1"/>
      <protection hidden="1"/>
    </xf>
    <xf numFmtId="0" fontId="13" fillId="0" borderId="12" xfId="0" applyFont="1" applyBorder="1" applyAlignment="1" applyProtection="1">
      <alignment horizontal="left" vertical="center" wrapText="1"/>
      <protection hidden="1"/>
    </xf>
    <xf numFmtId="166" fontId="0" fillId="4" borderId="21" xfId="1" applyNumberFormat="1" applyFont="1" applyFill="1" applyBorder="1" applyAlignment="1" applyProtection="1">
      <alignment horizontal="center"/>
      <protection locked="0"/>
    </xf>
    <xf numFmtId="166" fontId="11" fillId="0" borderId="13" xfId="1" applyNumberFormat="1" applyFont="1" applyFill="1" applyBorder="1" applyAlignment="1" applyProtection="1">
      <alignment horizontal="center" vertical="center"/>
      <protection hidden="1"/>
    </xf>
    <xf numFmtId="166" fontId="11" fillId="0" borderId="14" xfId="1" applyNumberFormat="1" applyFont="1" applyFill="1" applyBorder="1" applyAlignment="1" applyProtection="1">
      <alignment horizontal="center" vertical="center"/>
      <protection hidden="1"/>
    </xf>
    <xf numFmtId="166" fontId="11" fillId="0" borderId="15" xfId="1" applyNumberFormat="1" applyFont="1" applyFill="1" applyBorder="1" applyAlignment="1" applyProtection="1">
      <alignment horizontal="center" vertical="center"/>
      <protection hidden="1"/>
    </xf>
    <xf numFmtId="166" fontId="15" fillId="0" borderId="21" xfId="1" applyNumberFormat="1" applyFont="1" applyFill="1" applyBorder="1" applyAlignment="1" applyProtection="1">
      <alignment horizontal="center" vertical="center"/>
      <protection hidden="1"/>
    </xf>
    <xf numFmtId="166" fontId="0" fillId="0" borderId="21" xfId="1" applyNumberFormat="1" applyFont="1" applyFill="1" applyBorder="1" applyAlignment="1" applyProtection="1">
      <alignment horizontal="center"/>
      <protection hidden="1"/>
    </xf>
    <xf numFmtId="0" fontId="14" fillId="0" borderId="15" xfId="0" applyFont="1" applyBorder="1" applyAlignment="1" applyProtection="1">
      <alignment horizontal="left" vertical="center" wrapText="1"/>
      <protection hidden="1"/>
    </xf>
    <xf numFmtId="165" fontId="15" fillId="0" borderId="13" xfId="1" applyNumberFormat="1" applyFont="1" applyBorder="1" applyAlignment="1" applyProtection="1">
      <alignment horizontal="center" vertical="center"/>
      <protection hidden="1"/>
    </xf>
    <xf numFmtId="165" fontId="15" fillId="0" borderId="14" xfId="1" applyNumberFormat="1" applyFont="1" applyBorder="1" applyAlignment="1" applyProtection="1">
      <alignment horizontal="center" vertical="center"/>
      <protection hidden="1"/>
    </xf>
    <xf numFmtId="165" fontId="15" fillId="0" borderId="15" xfId="1" applyNumberFormat="1" applyFont="1" applyBorder="1" applyAlignment="1" applyProtection="1">
      <alignment horizontal="center" vertical="center"/>
      <protection hidden="1"/>
    </xf>
    <xf numFmtId="0" fontId="12" fillId="6" borderId="9" xfId="0" applyFont="1" applyFill="1" applyBorder="1" applyAlignment="1" applyProtection="1">
      <alignment horizontal="left" vertical="center" wrapText="1"/>
      <protection hidden="1"/>
    </xf>
    <xf numFmtId="0" fontId="12" fillId="6" borderId="10" xfId="0" applyFont="1" applyFill="1" applyBorder="1" applyAlignment="1" applyProtection="1">
      <alignment horizontal="left" vertical="center" wrapText="1"/>
      <protection hidden="1"/>
    </xf>
    <xf numFmtId="165" fontId="15" fillId="6" borderId="9" xfId="1" applyNumberFormat="1" applyFont="1" applyFill="1" applyBorder="1" applyAlignment="1" applyProtection="1">
      <alignment horizontal="center" vertical="center"/>
      <protection hidden="1"/>
    </xf>
    <xf numFmtId="165" fontId="15" fillId="6" borderId="10" xfId="1" applyNumberFormat="1" applyFont="1" applyFill="1" applyBorder="1" applyAlignment="1" applyProtection="1">
      <alignment horizontal="center" vertical="center"/>
      <protection hidden="1"/>
    </xf>
    <xf numFmtId="165" fontId="15" fillId="6" borderId="17" xfId="1" applyNumberFormat="1" applyFont="1" applyFill="1" applyBorder="1" applyAlignment="1" applyProtection="1">
      <alignment horizontal="center" vertical="center"/>
      <protection hidden="1"/>
    </xf>
    <xf numFmtId="165" fontId="15" fillId="6" borderId="22" xfId="1" applyNumberFormat="1" applyFont="1" applyFill="1" applyBorder="1" applyAlignment="1" applyProtection="1">
      <alignment horizontal="center" vertical="center"/>
      <protection hidden="1"/>
    </xf>
    <xf numFmtId="0" fontId="11" fillId="0" borderId="18" xfId="0" applyFont="1" applyBorder="1" applyAlignment="1" applyProtection="1">
      <alignment horizontal="left" vertical="center" wrapText="1"/>
      <protection hidden="1"/>
    </xf>
    <xf numFmtId="0" fontId="11" fillId="0" borderId="19" xfId="0" applyFont="1" applyBorder="1" applyAlignment="1" applyProtection="1">
      <alignment horizontal="left" vertical="center" wrapText="1"/>
      <protection hidden="1"/>
    </xf>
    <xf numFmtId="0" fontId="11" fillId="0" borderId="20" xfId="0" applyFont="1" applyBorder="1" applyAlignment="1" applyProtection="1">
      <alignment horizontal="left" vertical="center" wrapText="1"/>
      <protection hidden="1"/>
    </xf>
    <xf numFmtId="166" fontId="11" fillId="0" borderId="23" xfId="0" applyNumberFormat="1" applyFont="1" applyBorder="1" applyAlignment="1">
      <alignment horizontal="center"/>
    </xf>
    <xf numFmtId="0" fontId="11" fillId="0" borderId="19" xfId="0" applyFont="1" applyBorder="1" applyAlignment="1">
      <alignment horizontal="center"/>
    </xf>
    <xf numFmtId="0" fontId="11" fillId="0" borderId="20" xfId="0" applyFont="1" applyBorder="1" applyAlignment="1">
      <alignment horizontal="center"/>
    </xf>
    <xf numFmtId="166" fontId="11" fillId="0" borderId="23" xfId="0" applyNumberFormat="1" applyFont="1" applyBorder="1" applyAlignment="1" applyProtection="1">
      <alignment horizontal="center"/>
      <protection hidden="1"/>
    </xf>
    <xf numFmtId="0" fontId="11" fillId="0" borderId="19" xfId="0" applyFont="1" applyBorder="1" applyAlignment="1" applyProtection="1">
      <alignment horizontal="center"/>
      <protection hidden="1"/>
    </xf>
    <xf numFmtId="0" fontId="11" fillId="0" borderId="20" xfId="0" applyFont="1" applyBorder="1" applyAlignment="1" applyProtection="1">
      <alignment horizontal="center"/>
      <protection hidden="1"/>
    </xf>
    <xf numFmtId="0" fontId="0" fillId="0" borderId="0" xfId="0" applyAlignment="1" applyProtection="1">
      <alignment horizontal="center"/>
      <protection hidden="1"/>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166" fontId="0" fillId="0" borderId="13" xfId="1" applyNumberFormat="1" applyFont="1" applyBorder="1" applyAlignment="1" applyProtection="1">
      <alignment horizontal="center"/>
    </xf>
    <xf numFmtId="166" fontId="0" fillId="0" borderId="14" xfId="1" applyNumberFormat="1" applyFont="1" applyBorder="1" applyAlignment="1" applyProtection="1">
      <alignment horizontal="center"/>
    </xf>
    <xf numFmtId="166" fontId="0" fillId="0" borderId="15" xfId="1" applyNumberFormat="1" applyFont="1" applyBorder="1" applyAlignment="1" applyProtection="1">
      <alignment horizontal="center"/>
    </xf>
    <xf numFmtId="166" fontId="0" fillId="4" borderId="13" xfId="1" applyNumberFormat="1" applyFont="1" applyFill="1" applyBorder="1" applyAlignment="1" applyProtection="1">
      <alignment horizontal="center"/>
      <protection locked="0"/>
    </xf>
    <xf numFmtId="166" fontId="0" fillId="4" borderId="14" xfId="1" applyNumberFormat="1" applyFont="1" applyFill="1" applyBorder="1" applyAlignment="1" applyProtection="1">
      <alignment horizontal="center"/>
      <protection locked="0"/>
    </xf>
    <xf numFmtId="166" fontId="0" fillId="4" borderId="15" xfId="1" applyNumberFormat="1" applyFont="1" applyFill="1" applyBorder="1" applyAlignment="1" applyProtection="1">
      <alignment horizontal="center"/>
      <protection locked="0"/>
    </xf>
    <xf numFmtId="0" fontId="14" fillId="0" borderId="9" xfId="0" applyFont="1" applyBorder="1" applyAlignment="1">
      <alignment horizontal="right" vertical="center"/>
    </xf>
    <xf numFmtId="0" fontId="14" fillId="0" borderId="10" xfId="0" applyFont="1" applyBorder="1" applyAlignment="1">
      <alignment horizontal="right" vertical="center"/>
    </xf>
    <xf numFmtId="0" fontId="14" fillId="0" borderId="17" xfId="0" applyFont="1" applyBorder="1" applyAlignment="1">
      <alignment horizontal="right" vertical="center"/>
    </xf>
    <xf numFmtId="166" fontId="3" fillId="0" borderId="13" xfId="0" applyNumberFormat="1"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22" fillId="0" borderId="14" xfId="0" applyFont="1" applyBorder="1" applyAlignment="1">
      <alignment horizontal="center" vertical="center"/>
    </xf>
    <xf numFmtId="166" fontId="5" fillId="0" borderId="21" xfId="1" applyNumberFormat="1" applyFont="1" applyBorder="1" applyAlignment="1" applyProtection="1">
      <alignment horizontal="center" vertical="center"/>
    </xf>
    <xf numFmtId="0" fontId="13" fillId="0" borderId="15" xfId="0" applyFont="1" applyBorder="1" applyAlignment="1">
      <alignment horizontal="left" vertical="center"/>
    </xf>
    <xf numFmtId="166" fontId="23" fillId="0" borderId="11" xfId="0" applyNumberFormat="1" applyFont="1" applyBorder="1" applyAlignment="1">
      <alignment horizontal="center" vertical="center"/>
    </xf>
    <xf numFmtId="0" fontId="23" fillId="0" borderId="12" xfId="0" applyFont="1" applyBorder="1" applyAlignment="1">
      <alignment horizontal="center" vertical="center"/>
    </xf>
    <xf numFmtId="0" fontId="23" fillId="0" borderId="24" xfId="0" applyFont="1" applyBorder="1" applyAlignment="1">
      <alignment horizontal="center" vertical="center"/>
    </xf>
    <xf numFmtId="0" fontId="2" fillId="0" borderId="0" xfId="0" applyFont="1" applyAlignment="1">
      <alignment horizontal="center"/>
    </xf>
    <xf numFmtId="0" fontId="0" fillId="8" borderId="0" xfId="0" applyFill="1" applyAlignment="1">
      <alignment horizontal="center"/>
    </xf>
    <xf numFmtId="0" fontId="0" fillId="8" borderId="25" xfId="0" applyFill="1" applyBorder="1" applyAlignment="1">
      <alignment horizontal="center"/>
    </xf>
    <xf numFmtId="0" fontId="0" fillId="0" borderId="16" xfId="0" applyBorder="1" applyAlignment="1" applyProtection="1">
      <alignment horizontal="right" vertical="top" wrapText="1"/>
      <protection hidden="1"/>
    </xf>
    <xf numFmtId="0" fontId="0" fillId="0" borderId="0" xfId="0" applyAlignment="1" applyProtection="1">
      <alignment horizontal="right" vertical="top" wrapText="1"/>
      <protection hidden="1"/>
    </xf>
    <xf numFmtId="0" fontId="0" fillId="0" borderId="25" xfId="0" applyBorder="1" applyAlignment="1">
      <alignment horizontal="center"/>
    </xf>
    <xf numFmtId="0" fontId="0" fillId="0" borderId="0" xfId="0" applyAlignment="1">
      <alignment horizontal="right"/>
    </xf>
    <xf numFmtId="167" fontId="24" fillId="4" borderId="22" xfId="1" applyNumberFormat="1" applyFont="1" applyFill="1" applyBorder="1" applyAlignment="1" applyProtection="1">
      <alignment horizontal="right"/>
      <protection locked="0"/>
    </xf>
    <xf numFmtId="0" fontId="0" fillId="0" borderId="0" xfId="0" applyAlignment="1" applyProtection="1">
      <alignment horizontal="left" vertical="top" wrapText="1"/>
      <protection locked="0" hidden="1"/>
    </xf>
    <xf numFmtId="1" fontId="24" fillId="0" borderId="13" xfId="1" applyNumberFormat="1" applyFont="1" applyFill="1" applyBorder="1" applyAlignment="1" applyProtection="1">
      <alignment horizontal="right"/>
    </xf>
    <xf numFmtId="1" fontId="24" fillId="0" borderId="14" xfId="1" applyNumberFormat="1" applyFont="1" applyFill="1" applyBorder="1" applyAlignment="1" applyProtection="1">
      <alignment horizontal="right"/>
    </xf>
    <xf numFmtId="167" fontId="24" fillId="4" borderId="26" xfId="1" applyNumberFormat="1" applyFont="1" applyFill="1" applyBorder="1" applyAlignment="1" applyProtection="1">
      <alignment horizontal="right"/>
      <protection locked="0"/>
    </xf>
    <xf numFmtId="0" fontId="20" fillId="0" borderId="0" xfId="0" applyFont="1" applyAlignment="1" applyProtection="1">
      <alignment horizontal="left" vertical="top" wrapText="1"/>
      <protection hidden="1"/>
    </xf>
    <xf numFmtId="0" fontId="0" fillId="0" borderId="13" xfId="0" applyBorder="1" applyAlignment="1">
      <alignment horizontal="center" wrapText="1"/>
    </xf>
    <xf numFmtId="0" fontId="0" fillId="0" borderId="15" xfId="0" applyBorder="1" applyAlignment="1">
      <alignment horizontal="center" wrapText="1"/>
    </xf>
    <xf numFmtId="0" fontId="3" fillId="0" borderId="9" xfId="0" applyFont="1" applyBorder="1" applyAlignment="1" applyProtection="1">
      <alignment horizontal="left" vertical="center" wrapText="1"/>
      <protection hidden="1"/>
    </xf>
    <xf numFmtId="0" fontId="3" fillId="0" borderId="10" xfId="0" applyFont="1" applyBorder="1" applyAlignment="1" applyProtection="1">
      <alignment horizontal="left" vertical="center" wrapText="1"/>
      <protection hidden="1"/>
    </xf>
    <xf numFmtId="0" fontId="3" fillId="0" borderId="17" xfId="0" applyFont="1" applyBorder="1" applyAlignment="1" applyProtection="1">
      <alignment horizontal="left" vertical="center" wrapText="1"/>
      <protection hidden="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7" xfId="0" applyFont="1" applyBorder="1" applyAlignment="1">
      <alignment horizontal="left" vertical="center" wrapText="1"/>
    </xf>
    <xf numFmtId="0" fontId="21" fillId="0" borderId="10" xfId="0" applyFont="1" applyBorder="1" applyAlignment="1">
      <alignment horizontal="center"/>
    </xf>
    <xf numFmtId="168" fontId="25" fillId="0" borderId="9" xfId="0" applyNumberFormat="1" applyFont="1" applyBorder="1" applyAlignment="1">
      <alignment horizontal="center" vertical="center" wrapText="1"/>
    </xf>
    <xf numFmtId="168" fontId="25" fillId="0" borderId="17" xfId="0" applyNumberFormat="1" applyFont="1" applyBorder="1" applyAlignment="1">
      <alignment horizontal="center" vertical="center" wrapText="1"/>
    </xf>
    <xf numFmtId="168" fontId="25" fillId="0" borderId="16" xfId="0" applyNumberFormat="1" applyFont="1" applyBorder="1" applyAlignment="1">
      <alignment horizontal="center" vertical="center" wrapText="1"/>
    </xf>
    <xf numFmtId="168" fontId="25" fillId="0" borderId="25" xfId="0" applyNumberFormat="1" applyFont="1" applyBorder="1" applyAlignment="1">
      <alignment horizontal="center" vertical="center" wrapText="1"/>
    </xf>
    <xf numFmtId="168" fontId="25" fillId="0" borderId="11" xfId="0" applyNumberFormat="1" applyFont="1" applyBorder="1" applyAlignment="1">
      <alignment horizontal="center" vertical="center" wrapText="1"/>
    </xf>
    <xf numFmtId="168" fontId="25" fillId="0" borderId="24" xfId="0" applyNumberFormat="1" applyFont="1"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0" fillId="4" borderId="1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25" xfId="0" applyFill="1" applyBorder="1" applyAlignment="1" applyProtection="1">
      <alignment horizontal="left" vertical="top" wrapText="1"/>
      <protection locked="0"/>
    </xf>
    <xf numFmtId="0" fontId="0" fillId="4" borderId="11" xfId="0" applyFill="1" applyBorder="1" applyAlignment="1" applyProtection="1">
      <alignment horizontal="left" vertical="top" wrapText="1"/>
      <protection locked="0"/>
    </xf>
    <xf numFmtId="0" fontId="0" fillId="4" borderId="12" xfId="0" applyFill="1" applyBorder="1" applyAlignment="1" applyProtection="1">
      <alignment horizontal="left" vertical="top" wrapText="1"/>
      <protection locked="0"/>
    </xf>
    <xf numFmtId="0" fontId="0" fillId="4" borderId="24" xfId="0" applyFill="1" applyBorder="1" applyAlignment="1" applyProtection="1">
      <alignment horizontal="left" vertical="top" wrapText="1"/>
      <protection locked="0"/>
    </xf>
    <xf numFmtId="0" fontId="21" fillId="0" borderId="0" xfId="0" applyFont="1" applyAlignment="1">
      <alignment horizontal="center"/>
    </xf>
    <xf numFmtId="0" fontId="13" fillId="0" borderId="9" xfId="0" applyFont="1" applyBorder="1" applyAlignment="1" applyProtection="1">
      <alignment horizontal="center" vertical="center" textRotation="90" wrapText="1"/>
      <protection hidden="1"/>
    </xf>
    <xf numFmtId="0" fontId="13" fillId="0" borderId="16" xfId="0" applyFont="1" applyBorder="1" applyAlignment="1" applyProtection="1">
      <alignment horizontal="center" vertical="center" textRotation="90" wrapText="1"/>
      <protection hidden="1"/>
    </xf>
    <xf numFmtId="0" fontId="13" fillId="0" borderId="11" xfId="0" applyFont="1" applyBorder="1" applyAlignment="1" applyProtection="1">
      <alignment horizontal="center" vertical="center" textRotation="90" wrapText="1"/>
      <protection hidden="1"/>
    </xf>
    <xf numFmtId="0" fontId="0" fillId="0" borderId="0" xfId="0" applyAlignment="1">
      <alignment horizontal="right" vertical="top" textRotation="90"/>
    </xf>
    <xf numFmtId="0" fontId="0" fillId="0" borderId="12" xfId="0" applyBorder="1" applyAlignment="1">
      <alignment horizontal="right" vertical="top" textRotation="90"/>
    </xf>
    <xf numFmtId="0" fontId="0" fillId="0" borderId="21" xfId="0" applyBorder="1" applyAlignment="1">
      <alignment horizontal="center" vertical="center"/>
    </xf>
    <xf numFmtId="0" fontId="2" fillId="2" borderId="0" xfId="0" applyFont="1" applyFill="1" applyAlignment="1" applyProtection="1">
      <alignment horizontal="center"/>
      <protection hidden="1"/>
    </xf>
    <xf numFmtId="0" fontId="6" fillId="0" borderId="0" xfId="0" applyFont="1" applyAlignment="1" applyProtection="1">
      <alignment horizontal="center"/>
      <protection hidden="1"/>
    </xf>
    <xf numFmtId="0" fontId="7" fillId="0" borderId="0" xfId="0" applyFont="1" applyAlignment="1" applyProtection="1">
      <alignment horizontal="left" vertical="center"/>
      <protection hidden="1"/>
    </xf>
    <xf numFmtId="14" fontId="0" fillId="0" borderId="0" xfId="0" applyNumberFormat="1" applyAlignment="1" applyProtection="1">
      <alignment horizontal="left"/>
      <protection hidden="1"/>
    </xf>
    <xf numFmtId="0" fontId="5" fillId="4" borderId="0" xfId="0" applyFont="1" applyFill="1" applyAlignment="1" applyProtection="1">
      <alignment horizontal="left" vertical="top" wrapText="1"/>
      <protection locked="0" hidden="1"/>
    </xf>
  </cellXfs>
  <cellStyles count="4">
    <cellStyle name="Lien hypertexte" xfId="3" builtinId="8"/>
    <cellStyle name="Milliers" xfId="1" builtinId="3"/>
    <cellStyle name="Normal" xfId="0" builtinId="0"/>
    <cellStyle name="Pourcentage" xfId="2" builtinId="5"/>
  </cellStyles>
  <dxfs count="216">
    <dxf>
      <font>
        <color theme="0"/>
      </font>
      <fill>
        <patternFill patternType="solid">
          <bgColor theme="0"/>
        </patternFill>
      </fill>
      <border>
        <left/>
        <right/>
        <top/>
        <bottom/>
      </border>
    </dxf>
    <dxf>
      <font>
        <b/>
        <i val="0"/>
        <color theme="0"/>
      </font>
      <fill>
        <patternFill patternType="solid">
          <bgColor rgb="FFC00000"/>
        </patternFill>
      </fill>
    </dxf>
    <dxf>
      <font>
        <b/>
        <i val="0"/>
        <color theme="0"/>
      </font>
      <fill>
        <patternFill patternType="solid">
          <bgColor rgb="FFC0000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bgColor theme="0"/>
        </patternFill>
      </fill>
    </dxf>
    <dxf>
      <font>
        <b/>
        <i val="0"/>
        <color theme="0"/>
      </font>
      <fill>
        <patternFill patternType="solid">
          <bgColor rgb="FF00B050"/>
        </patternFill>
      </fill>
    </dxf>
    <dxf>
      <font>
        <b/>
        <i val="0"/>
        <color auto="1"/>
      </font>
      <fill>
        <patternFill patternType="solid">
          <fgColor rgb="FFFFFF00"/>
          <bgColor rgb="FFFFFF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none"/>
      </fill>
    </dxf>
    <dxf>
      <font>
        <b/>
        <i val="0"/>
        <color theme="0"/>
      </font>
      <fill>
        <patternFill patternType="solid">
          <bgColor rgb="FFC00000"/>
        </patternFill>
      </fill>
    </dxf>
    <dxf>
      <font>
        <b/>
        <i val="0"/>
        <color theme="0"/>
      </font>
      <fill>
        <patternFill patternType="solid">
          <bgColor rgb="FF00B050"/>
        </patternFill>
      </fill>
    </dxf>
    <dxf>
      <font>
        <b/>
        <i val="0"/>
      </font>
      <fill>
        <patternFill patternType="solid">
          <bgColor rgb="FFFFFF00"/>
        </patternFill>
      </fill>
    </dxf>
    <dxf>
      <font>
        <b val="0"/>
        <i val="0"/>
        <color auto="1"/>
      </font>
      <fill>
        <patternFill patternType="none"/>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solid">
          <bgColor theme="0"/>
        </patternFill>
      </fill>
    </dxf>
    <dxf>
      <font>
        <b/>
        <i val="0"/>
        <color theme="0"/>
      </font>
      <fill>
        <patternFill patternType="solid">
          <bgColor rgb="FF00B050"/>
        </patternFill>
      </fill>
    </dxf>
    <dxf>
      <font>
        <b/>
        <i val="0"/>
        <color auto="1"/>
      </font>
      <fill>
        <patternFill patternType="solid">
          <fgColor rgb="FFFFFF00"/>
          <bgColor rgb="FFFFFF00"/>
        </patternFill>
      </fill>
    </dxf>
    <dxf>
      <font>
        <b val="0"/>
        <i val="0"/>
        <color auto="1"/>
      </font>
      <fill>
        <patternFill patternType="solid">
          <fgColor theme="0"/>
          <bgColor theme="0"/>
        </patternFill>
      </fill>
    </dxf>
    <dxf>
      <font>
        <b/>
        <i val="0"/>
        <color theme="0"/>
      </font>
      <fill>
        <patternFill patternType="solid">
          <bgColor rgb="FF00B050"/>
        </patternFill>
      </fill>
    </dxf>
    <dxf>
      <font>
        <b/>
        <i val="0"/>
        <color theme="0"/>
      </font>
      <fill>
        <patternFill patternType="solid">
          <bgColor rgb="FFFF0000"/>
        </patternFill>
      </fill>
    </dxf>
    <dxf>
      <font>
        <b val="0"/>
        <i val="0"/>
        <color auto="1"/>
      </font>
      <fill>
        <patternFill patternType="none"/>
      </fill>
    </dxf>
    <dxf>
      <font>
        <b/>
        <i val="0"/>
        <color theme="0"/>
      </font>
      <fill>
        <patternFill patternType="solid">
          <bgColor rgb="FFC00000"/>
        </patternFill>
      </fill>
    </dxf>
    <dxf>
      <font>
        <b/>
        <i val="0"/>
        <color theme="0"/>
      </font>
      <fill>
        <patternFill patternType="solid">
          <bgColor rgb="FF00B050"/>
        </patternFill>
      </fill>
    </dxf>
    <dxf>
      <font>
        <b/>
        <i val="0"/>
      </font>
      <fill>
        <patternFill patternType="solid">
          <bgColor rgb="FFFFFF00"/>
        </patternFill>
      </fill>
    </dxf>
    <dxf>
      <font>
        <b val="0"/>
        <i val="0"/>
        <color auto="1"/>
      </font>
      <fill>
        <patternFill patternType="none"/>
      </fill>
    </dxf>
    <dxf>
      <font>
        <b/>
        <i val="0"/>
        <color rgb="FFFF0000"/>
      </font>
    </dxf>
    <dxf>
      <font>
        <b/>
        <i val="0"/>
        <color theme="0"/>
      </font>
      <fill>
        <patternFill patternType="solid">
          <bgColor rgb="FF0033CC"/>
        </patternFill>
      </fill>
    </dxf>
    <dxf>
      <font>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ill>
        <patternFill patternType="solid">
          <bgColor rgb="FFFBA69F"/>
        </patternFill>
      </fill>
    </dxf>
    <dxf>
      <fill>
        <patternFill patternType="solid">
          <bgColor rgb="FFFFFF00"/>
        </patternFill>
      </fill>
    </dxf>
    <dxf>
      <font>
        <b/>
        <i val="0"/>
        <color theme="0"/>
      </font>
      <fill>
        <patternFill patternType="solid">
          <bgColor rgb="FFFF0000"/>
        </patternFill>
      </fill>
    </dxf>
    <dxf>
      <border>
        <left style="thin">
          <color auto="1"/>
        </left>
        <right style="thin">
          <color auto="1"/>
        </right>
        <top style="thin">
          <color auto="1"/>
        </top>
        <bottom style="thin">
          <color auto="1"/>
        </bottom>
      </border>
    </dxf>
    <dxf>
      <fill>
        <patternFill patternType="solid">
          <bgColor rgb="FFFF0000"/>
        </patternFill>
      </fill>
    </dxf>
    <dxf>
      <fill>
        <patternFill patternType="solid">
          <bgColor theme="7" tint="0.39991454817346722"/>
        </patternFill>
      </fill>
    </dxf>
    <dxf>
      <fill>
        <patternFill patternType="solid"/>
      </fill>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20651875362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solid">
          <bgColor theme="9" tint="0.79995117038483843"/>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theme="9" tint="0.79995117038483843"/>
        </patternFill>
      </fill>
      <border>
        <left style="thin">
          <color auto="1"/>
        </left>
        <right style="thin">
          <color auto="1"/>
        </right>
        <top style="thin">
          <color auto="1"/>
        </top>
        <bottom style="thin">
          <color auto="1"/>
        </bottom>
      </border>
    </dxf>
    <dxf>
      <fill>
        <patternFill patternType="solid">
          <bgColor theme="9" tint="0.79995117038483843"/>
        </patternFill>
      </fill>
    </dxf>
    <dxf>
      <fill>
        <patternFill patternType="solid">
          <bgColor theme="9" tint="0.79995117038483843"/>
        </patternFill>
      </fill>
    </dxf>
    <dxf>
      <fill>
        <patternFill patternType="solid">
          <bgColor theme="9" tint="0.79995117038483843"/>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fgColor theme="0"/>
        </patternFill>
      </fill>
    </dxf>
    <dxf>
      <fill>
        <patternFill patternType="solid">
          <bgColor theme="6" tint="0.79992065187536243"/>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CC"/>
        </patternFill>
      </fill>
      <border>
        <left style="thin">
          <color auto="1"/>
        </left>
        <right style="thin">
          <color auto="1"/>
        </right>
        <top style="thin">
          <color auto="1"/>
        </top>
        <bottom style="thin">
          <color auto="1"/>
        </bottom>
      </border>
    </dxf>
    <dxf>
      <fill>
        <patternFill patternType="lightGrid">
          <fgColor rgb="FFFF0000"/>
        </patternFill>
      </fill>
      <border>
        <left/>
        <right/>
        <top/>
        <bottom/>
      </border>
    </dxf>
    <dxf>
      <fill>
        <patternFill patternType="solid">
          <bgColor theme="9" tint="0.79992065187536243"/>
        </patternFill>
      </fill>
      <border>
        <left style="thin">
          <color auto="1"/>
        </left>
        <right style="thin">
          <color auto="1"/>
        </right>
        <top style="thin">
          <color auto="1"/>
        </top>
        <bottom style="thin">
          <color auto="1"/>
        </bottom>
      </border>
    </dxf>
    <dxf>
      <fill>
        <patternFill patternType="solid">
          <bgColor theme="9" tint="0.79992065187536243"/>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rgb="FFFFFFCC"/>
        </patternFill>
      </fill>
      <border>
        <left style="thin">
          <color auto="1"/>
        </left>
        <right style="thin">
          <color auto="1"/>
        </right>
        <top style="thin">
          <color auto="1"/>
        </top>
        <bottom style="thin">
          <color auto="1"/>
        </bottom>
      </border>
    </dxf>
    <dxf>
      <font>
        <color theme="0"/>
      </font>
      <fill>
        <patternFill patternType="solid">
          <bgColor rgb="FFFF0000"/>
        </patternFill>
      </fill>
    </dxf>
    <dxf>
      <fill>
        <patternFill patternType="lightGrid">
          <fgColor rgb="FFFF0000"/>
          <bgColor rgb="FFFFFFFF"/>
        </patternFill>
      </fill>
      <border>
        <left/>
        <right/>
        <top/>
        <bottom/>
      </border>
    </dxf>
    <dxf>
      <fill>
        <patternFill patternType="solid"/>
      </fill>
    </dxf>
    <dxf>
      <border>
        <left style="thin">
          <color auto="1"/>
        </left>
        <right style="thin">
          <color auto="1"/>
        </right>
        <top style="thin">
          <color auto="1"/>
        </top>
        <bottom style="thin">
          <color auto="1"/>
        </bottom>
      </border>
    </dxf>
    <dxf>
      <fill>
        <patternFill patternType="none"/>
      </fill>
    </dxf>
    <dxf>
      <fill>
        <patternFill patternType="solid"/>
      </fill>
      <border>
        <left style="thin">
          <color auto="1"/>
        </left>
        <right style="thin">
          <color auto="1"/>
        </right>
        <top style="thin">
          <color auto="1"/>
        </top>
        <bottom style="thin">
          <color auto="1"/>
        </bottom>
      </border>
    </dxf>
    <dxf>
      <font>
        <color theme="0"/>
      </font>
      <fill>
        <patternFill patternType="solid">
          <fgColor theme="1" tint="0.24994659260841701"/>
          <bgColor theme="1" tint="0.14993743705557422"/>
        </patternFill>
      </fill>
    </dxf>
    <dxf>
      <font>
        <color theme="0"/>
      </font>
      <fill>
        <patternFill patternType="solid">
          <fgColor theme="2" tint="-0.749961851863155"/>
        </patternFill>
      </fill>
    </dxf>
    <dxf>
      <border>
        <left style="thin">
          <color auto="1"/>
        </left>
        <right style="thin">
          <color auto="1"/>
        </right>
        <top style="thin">
          <color auto="1"/>
        </top>
        <bottom style="thin">
          <color auto="1"/>
        </bottom>
      </border>
    </dxf>
    <dxf>
      <font>
        <color theme="0"/>
      </font>
      <fill>
        <patternFill patternType="solid">
          <bgColor theme="1" tint="0.24994659260841701"/>
        </patternFill>
      </fill>
    </dxf>
    <dxf>
      <fill>
        <patternFill patternType="solid">
          <bgColor theme="9" tint="0.79995117038483843"/>
        </patternFill>
      </fill>
    </dxf>
    <dxf>
      <fill>
        <patternFill patternType="solid">
          <bgColor theme="9" tint="0.79995117038483843"/>
        </patternFill>
      </fill>
    </dxf>
    <dxf>
      <fill>
        <patternFill patternType="none"/>
      </fill>
    </dxf>
    <dxf>
      <fill>
        <patternFill patternType="none"/>
      </fill>
    </dxf>
    <dxf>
      <font>
        <b/>
        <i val="0"/>
      </font>
      <fill>
        <patternFill patternType="solid">
          <bgColor theme="7" tint="0.59996337778862885"/>
        </patternFill>
      </fill>
    </dxf>
    <dxf>
      <font>
        <b/>
        <i val="0"/>
      </font>
      <fill>
        <patternFill patternType="solid">
          <bgColor theme="7" tint="0.59996337778862885"/>
        </patternFill>
      </fill>
    </dxf>
    <dxf>
      <font>
        <b/>
        <i val="0"/>
      </font>
      <fill>
        <patternFill patternType="solid">
          <bgColor theme="7" tint="0.59996337778862885"/>
        </patternFill>
      </fill>
    </dxf>
    <dxf>
      <font>
        <b/>
        <i val="0"/>
      </font>
      <fill>
        <patternFill patternType="solid">
          <bgColor theme="7" tint="0.59996337778862885"/>
        </patternFill>
      </fill>
    </dxf>
    <dxf>
      <font>
        <b/>
        <i val="0"/>
      </font>
      <fill>
        <patternFill patternType="solid">
          <bgColor theme="7" tint="0.59996337778862885"/>
        </patternFill>
      </fill>
    </dxf>
  </dxfs>
  <tableStyles count="0" defaultTableStyle="TableStyleMedium2" defaultPivotStyle="PivotStyleLight16"/>
  <colors>
    <mruColors>
      <color rgb="FF0033CC"/>
      <color rgb="FFFFFFFF"/>
      <color rgb="FFFEFAD4"/>
      <color rgb="FFFFFFCC"/>
      <color rgb="FFFF9966"/>
      <color rgb="FFEB874F"/>
      <color rgb="FFFBA6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65</xdr:col>
      <xdr:colOff>330199</xdr:colOff>
      <xdr:row>8</xdr:row>
      <xdr:rowOff>0</xdr:rowOff>
    </xdr:from>
    <xdr:to>
      <xdr:col>68</xdr:col>
      <xdr:colOff>361070</xdr:colOff>
      <xdr:row>17</xdr:row>
      <xdr:rowOff>177800</xdr:rowOff>
    </xdr:to>
    <xdr:pic>
      <xdr:nvPicPr>
        <xdr:cNvPr id="2" name="Image 1" descr="Crédit Rural de Guinée | Conak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184" t="1775"/>
        <a:stretch>
          <a:fillRect/>
        </a:stretch>
      </xdr:blipFill>
      <xdr:spPr>
        <a:xfrm>
          <a:off x="3964305" y="2651760"/>
          <a:ext cx="1934210" cy="1934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7</xdr:row>
      <xdr:rowOff>0</xdr:rowOff>
    </xdr:from>
    <xdr:to>
      <xdr:col>19</xdr:col>
      <xdr:colOff>463550</xdr:colOff>
      <xdr:row>8</xdr:row>
      <xdr:rowOff>45720</xdr:rowOff>
    </xdr:to>
    <xdr:sp macro="" textlink="">
      <xdr:nvSpPr>
        <xdr:cNvPr id="2" name="CommandButton1" hidden="1">
          <a:extLst>
            <a:ext uri="{FF2B5EF4-FFF2-40B4-BE49-F238E27FC236}">
              <a16:creationId xmlns:a16="http://schemas.microsoft.com/office/drawing/2014/main" id="{00000000-0008-0000-0500-000002000000}"/>
            </a:ext>
          </a:extLst>
        </xdr:cNvPr>
        <xdr:cNvSpPr/>
      </xdr:nvSpPr>
      <xdr:spPr>
        <a:xfrm>
          <a:off x="9516745" y="1402080"/>
          <a:ext cx="463550"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0</xdr:colOff>
      <xdr:row>7</xdr:row>
      <xdr:rowOff>0</xdr:rowOff>
    </xdr:from>
    <xdr:to>
      <xdr:col>19</xdr:col>
      <xdr:colOff>450850</xdr:colOff>
      <xdr:row>9</xdr:row>
      <xdr:rowOff>2540</xdr:rowOff>
    </xdr:to>
    <xdr:sp macro="" textlink="">
      <xdr:nvSpPr>
        <xdr:cNvPr id="3" name="CommandButton2" hidden="1">
          <a:extLst>
            <a:ext uri="{FF2B5EF4-FFF2-40B4-BE49-F238E27FC236}">
              <a16:creationId xmlns:a16="http://schemas.microsoft.com/office/drawing/2014/main" id="{00000000-0008-0000-0500-000003000000}"/>
            </a:ext>
          </a:extLst>
        </xdr:cNvPr>
        <xdr:cNvSpPr/>
      </xdr:nvSpPr>
      <xdr:spPr>
        <a:xfrm>
          <a:off x="9516745" y="1402080"/>
          <a:ext cx="450850" cy="4159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fLocksWithSheet="0"/>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T150"/>
  <sheetViews>
    <sheetView showGridLines="0" showRowColHeaders="0" topLeftCell="BH1" workbookViewId="0">
      <pane xSplit="16" ySplit="21" topLeftCell="BX444" activePane="bottomRight" state="frozen"/>
      <selection pane="topRight"/>
      <selection pane="bottomLeft"/>
      <selection pane="bottomRight" activeCell="BW28" sqref="BW28"/>
    </sheetView>
  </sheetViews>
  <sheetFormatPr baseColWidth="10" defaultColWidth="9.25" defaultRowHeight="13.5"/>
  <cols>
    <col min="1" max="1" width="24.25" hidden="1" customWidth="1"/>
    <col min="2" max="2" width="14.5" hidden="1" customWidth="1"/>
    <col min="3" max="3" width="10.75" hidden="1" customWidth="1"/>
    <col min="4" max="4" width="12.75" hidden="1" customWidth="1"/>
    <col min="5" max="5" width="10" hidden="1" customWidth="1"/>
    <col min="6" max="6" width="5.875" hidden="1" customWidth="1"/>
    <col min="7" max="7" width="19.25" hidden="1" customWidth="1"/>
    <col min="8" max="8" width="19.5" hidden="1" customWidth="1"/>
    <col min="9" max="9" width="14.625" hidden="1" customWidth="1"/>
    <col min="10" max="10" width="18.25" hidden="1" customWidth="1"/>
    <col min="11" max="11" width="5.75" hidden="1" customWidth="1"/>
    <col min="12" max="12" width="15.5" hidden="1" customWidth="1"/>
    <col min="13" max="13" width="9.25" hidden="1" customWidth="1"/>
    <col min="14" max="14" width="6.75" style="185" hidden="1" customWidth="1"/>
    <col min="15" max="15" width="11.75" style="186" hidden="1" customWidth="1"/>
    <col min="16" max="16" width="11" style="186" hidden="1" customWidth="1"/>
    <col min="17" max="17" width="9.25" hidden="1" customWidth="1"/>
    <col min="18" max="18" width="9.625" hidden="1" customWidth="1"/>
    <col min="19" max="19" width="3.25" hidden="1" customWidth="1"/>
    <col min="20" max="20" width="1.75" hidden="1" customWidth="1"/>
    <col min="21" max="21" width="9.25" hidden="1" customWidth="1"/>
    <col min="22" max="22" width="96.875" hidden="1" customWidth="1"/>
    <col min="23" max="23" width="22.75" hidden="1" customWidth="1"/>
    <col min="24" max="24" width="1.75" hidden="1" customWidth="1"/>
    <col min="25" max="25" width="16.625" hidden="1" customWidth="1"/>
    <col min="26" max="26" width="16.125" hidden="1" customWidth="1"/>
    <col min="27" max="29" width="21.625" hidden="1" customWidth="1"/>
    <col min="30" max="30" width="19.75" hidden="1" customWidth="1"/>
    <col min="31" max="31" width="6.375" hidden="1" customWidth="1"/>
    <col min="32" max="32" width="9.25" hidden="1" customWidth="1"/>
    <col min="33" max="33" width="9.25" style="60" hidden="1" customWidth="1"/>
    <col min="34" max="59" width="9.25" hidden="1" customWidth="1"/>
    <col min="60" max="60" width="6.75" customWidth="1"/>
  </cols>
  <sheetData>
    <row r="1" spans="1:72" ht="81">
      <c r="A1" s="187" t="s">
        <v>0</v>
      </c>
      <c r="B1" s="187" t="s">
        <v>1</v>
      </c>
      <c r="C1" s="187" t="s">
        <v>2</v>
      </c>
      <c r="D1" s="187" t="s">
        <v>3</v>
      </c>
      <c r="E1" s="187" t="s">
        <v>4</v>
      </c>
      <c r="F1" s="187" t="s">
        <v>5</v>
      </c>
      <c r="G1" s="188" t="s">
        <v>6</v>
      </c>
      <c r="H1" s="188" t="s">
        <v>7</v>
      </c>
      <c r="I1" s="188" t="s">
        <v>8</v>
      </c>
      <c r="J1" s="188" t="s">
        <v>9</v>
      </c>
      <c r="K1" s="188" t="s">
        <v>5</v>
      </c>
      <c r="L1" s="188" t="s">
        <v>10</v>
      </c>
      <c r="N1" s="201" t="s">
        <v>11</v>
      </c>
      <c r="O1" s="202" t="s">
        <v>12</v>
      </c>
      <c r="P1" s="203" t="s">
        <v>13</v>
      </c>
      <c r="S1" t="s">
        <v>14</v>
      </c>
      <c r="V1" t="s">
        <v>15</v>
      </c>
      <c r="W1" t="str">
        <f>'Collecte des données'!I12</f>
        <v>Fonds de roulement</v>
      </c>
      <c r="Y1" t="s">
        <v>16</v>
      </c>
      <c r="Z1" t="s">
        <v>17</v>
      </c>
      <c r="AA1" s="232">
        <f>IF('Collecte des données'!$I$49="OUI",CRG!W18,CRG!W17)</f>
        <v>0.3448979591836735</v>
      </c>
      <c r="AB1" t="s">
        <v>18</v>
      </c>
      <c r="AC1" s="233" t="s">
        <v>19</v>
      </c>
      <c r="AE1" s="234">
        <f>'Collecte des données'!I18</f>
        <v>60000000</v>
      </c>
      <c r="AI1" s="67"/>
      <c r="AJ1" s="67"/>
      <c r="AK1" s="67"/>
      <c r="AL1" s="67"/>
      <c r="AM1" s="67"/>
      <c r="AN1" s="67"/>
      <c r="AO1" s="67"/>
      <c r="AP1" s="67"/>
      <c r="AQ1" s="67"/>
    </row>
    <row r="2" spans="1:72" ht="27">
      <c r="A2" s="189" t="s">
        <v>6</v>
      </c>
      <c r="B2" s="189" t="s">
        <v>20</v>
      </c>
      <c r="C2" s="189" t="s">
        <v>21</v>
      </c>
      <c r="D2" s="189" t="s">
        <v>22</v>
      </c>
      <c r="E2" s="189" t="s">
        <v>23</v>
      </c>
      <c r="F2" s="190" t="s">
        <v>24</v>
      </c>
      <c r="G2" s="191" t="s">
        <v>25</v>
      </c>
      <c r="H2" s="191" t="s">
        <v>26</v>
      </c>
      <c r="I2" s="191" t="s">
        <v>26</v>
      </c>
      <c r="J2" s="191" t="s">
        <v>26</v>
      </c>
      <c r="K2" s="189"/>
      <c r="L2" s="191" t="s">
        <v>27</v>
      </c>
      <c r="N2" s="204">
        <f>Amorts!F6</f>
        <v>96</v>
      </c>
      <c r="O2" s="205">
        <f>Amorts!G6</f>
        <v>8000000</v>
      </c>
      <c r="P2" s="206">
        <f>O2/N2</f>
        <v>83333.333333333328</v>
      </c>
      <c r="R2" s="65" t="s">
        <v>28</v>
      </c>
      <c r="S2" s="207">
        <f>COUNTA('Collecte des données'!$C$34:$C$36)</f>
        <v>1</v>
      </c>
      <c r="T2" s="207">
        <f>IF(OR(S2=2,S2=3),1,0)</f>
        <v>0</v>
      </c>
      <c r="U2" s="207"/>
      <c r="V2" t="s">
        <v>29</v>
      </c>
      <c r="W2" s="208">
        <f>IF(Analyse!Q70="",'Collecte des données'!I14,Analyse!Q70)</f>
        <v>0</v>
      </c>
      <c r="Y2" t="s">
        <v>30</v>
      </c>
      <c r="Z2" t="s">
        <v>31</v>
      </c>
      <c r="AA2" s="232">
        <f>IF('Collecte des données'!$I$49="OUI",CRG!W19,CRG!W17)</f>
        <v>0.55000000000000004</v>
      </c>
      <c r="AC2" s="191" t="s">
        <v>27</v>
      </c>
      <c r="AE2" s="234">
        <v>0</v>
      </c>
      <c r="AI2" s="67"/>
      <c r="AJ2" s="67"/>
    </row>
    <row r="3" spans="1:72" ht="14.25">
      <c r="A3" s="189" t="s">
        <v>7</v>
      </c>
      <c r="B3" s="189" t="s">
        <v>32</v>
      </c>
      <c r="C3" s="189" t="s">
        <v>33</v>
      </c>
      <c r="D3" s="189" t="s">
        <v>34</v>
      </c>
      <c r="E3" s="189" t="s">
        <v>5</v>
      </c>
      <c r="F3" s="190"/>
      <c r="G3" s="191" t="s">
        <v>35</v>
      </c>
      <c r="H3" s="191" t="s">
        <v>36</v>
      </c>
      <c r="I3" s="191" t="s">
        <v>36</v>
      </c>
      <c r="J3" s="191" t="s">
        <v>36</v>
      </c>
      <c r="K3" s="189"/>
      <c r="L3" s="191" t="s">
        <v>37</v>
      </c>
      <c r="N3" s="204">
        <f>Amorts!F7</f>
        <v>96</v>
      </c>
      <c r="O3" s="205">
        <f>Amorts!G7</f>
        <v>6000000</v>
      </c>
      <c r="P3" s="206">
        <f t="shared" ref="P3:P68" si="0">O3/N3</f>
        <v>62500</v>
      </c>
      <c r="R3" s="65" t="s">
        <v>38</v>
      </c>
      <c r="S3" s="207">
        <f>COUNTA('Collecte des données'!$D$34:$D$36)</f>
        <v>1</v>
      </c>
      <c r="T3" s="207">
        <f t="shared" ref="T3:T13" si="1">IF(OR(S3=2,S3=3),1,0)</f>
        <v>0</v>
      </c>
      <c r="U3" s="207"/>
      <c r="V3" t="s">
        <v>39</v>
      </c>
      <c r="W3" s="208">
        <f>IF(Analyse!Q71="",'Collecte des données'!I15,Analyse!Q71)</f>
        <v>0</v>
      </c>
      <c r="Y3" t="s">
        <v>40</v>
      </c>
      <c r="Z3" t="s">
        <v>41</v>
      </c>
      <c r="AA3" s="232">
        <f>IF('Collecte des données'!$I$49="OUI",CRG!W20,CRG!W17)</f>
        <v>0.13333333333333333</v>
      </c>
      <c r="AC3" s="191" t="s">
        <v>37</v>
      </c>
      <c r="AI3" s="67"/>
      <c r="AJ3" s="67"/>
    </row>
    <row r="4" spans="1:72" ht="14.25">
      <c r="A4" s="189" t="s">
        <v>8</v>
      </c>
      <c r="B4" s="189" t="s">
        <v>42</v>
      </c>
      <c r="C4" s="189" t="s">
        <v>43</v>
      </c>
      <c r="D4" s="189" t="s">
        <v>44</v>
      </c>
      <c r="E4" s="189"/>
      <c r="F4" s="189"/>
      <c r="G4" s="192" t="s">
        <v>45</v>
      </c>
      <c r="H4" s="191" t="s">
        <v>46</v>
      </c>
      <c r="I4" s="191" t="s">
        <v>46</v>
      </c>
      <c r="J4" s="191" t="s">
        <v>46</v>
      </c>
      <c r="K4" s="189"/>
      <c r="L4" s="191" t="s">
        <v>47</v>
      </c>
      <c r="N4" s="204">
        <f>Amorts!F8</f>
        <v>96</v>
      </c>
      <c r="O4" s="205">
        <f>Amorts!G8</f>
        <v>3000000</v>
      </c>
      <c r="P4" s="206">
        <f t="shared" si="0"/>
        <v>31250</v>
      </c>
      <c r="R4" s="65" t="s">
        <v>48</v>
      </c>
      <c r="S4" s="207">
        <f>COUNTA('Collecte des données'!$E$34:$E$36)</f>
        <v>1</v>
      </c>
      <c r="T4" s="207">
        <f t="shared" si="1"/>
        <v>0</v>
      </c>
      <c r="U4" s="207"/>
      <c r="V4" t="s">
        <v>49</v>
      </c>
      <c r="W4" s="208">
        <f>IF(Analyse!Q72="",'Collecte des données'!I16,Analyse!Q72)</f>
        <v>0</v>
      </c>
      <c r="Z4" t="s">
        <v>50</v>
      </c>
      <c r="AA4" s="232">
        <f>IF('Collecte des données'!P47="",0%,'Collecte des données'!P47)</f>
        <v>0.34</v>
      </c>
      <c r="AC4" s="191" t="s">
        <v>47</v>
      </c>
      <c r="AI4" s="67"/>
      <c r="AJ4" s="67"/>
      <c r="BK4" s="255" t="s">
        <v>51</v>
      </c>
      <c r="BL4" s="255"/>
      <c r="BM4" s="255"/>
      <c r="BN4" s="255"/>
      <c r="BO4" s="255"/>
      <c r="BP4" s="255"/>
      <c r="BQ4" s="255"/>
      <c r="BR4" s="255"/>
      <c r="BS4" s="255"/>
      <c r="BT4" s="255"/>
    </row>
    <row r="5" spans="1:72" ht="14.25">
      <c r="A5" s="189" t="s">
        <v>9</v>
      </c>
      <c r="B5" s="189" t="s">
        <v>52</v>
      </c>
      <c r="C5" s="189" t="s">
        <v>53</v>
      </c>
      <c r="D5" s="189" t="s">
        <v>54</v>
      </c>
      <c r="E5" s="189"/>
      <c r="F5" s="189"/>
      <c r="G5" s="192" t="s">
        <v>55</v>
      </c>
      <c r="H5" s="191" t="s">
        <v>56</v>
      </c>
      <c r="I5" s="191" t="s">
        <v>56</v>
      </c>
      <c r="J5" s="191" t="s">
        <v>56</v>
      </c>
      <c r="K5" s="189"/>
      <c r="L5" s="191" t="s">
        <v>57</v>
      </c>
      <c r="N5" s="204">
        <f>Amorts!F9</f>
        <v>96</v>
      </c>
      <c r="O5" s="205">
        <f>Amorts!G9</f>
        <v>2000000</v>
      </c>
      <c r="P5" s="206">
        <f t="shared" si="0"/>
        <v>20833.333333333332</v>
      </c>
      <c r="R5" s="65" t="s">
        <v>58</v>
      </c>
      <c r="S5" s="207">
        <f>COUNTA('Collecte des données'!$F$34:$F$36)</f>
        <v>1</v>
      </c>
      <c r="T5" s="207">
        <f t="shared" si="1"/>
        <v>0</v>
      </c>
      <c r="U5" s="207"/>
      <c r="W5" s="208"/>
      <c r="Z5" s="212"/>
      <c r="AA5" s="235">
        <f>IF(Analyse!G41=CRG!Z1,CRG!AA1,IF(Analyse!G41=CRG!Z2,CRG!AA2,IF(Analyse!G41=CRG!Z3,CRG!AA3,IF(Analyse!G41=CRG!Z4,CRG!AA4,""))))</f>
        <v>0.3448979591836735</v>
      </c>
      <c r="AC5" s="191" t="s">
        <v>57</v>
      </c>
      <c r="AI5" s="67"/>
      <c r="AJ5" s="67"/>
      <c r="BK5" s="255"/>
      <c r="BL5" s="255"/>
      <c r="BM5" s="255"/>
      <c r="BN5" s="255"/>
      <c r="BO5" s="255"/>
      <c r="BP5" s="255"/>
      <c r="BQ5" s="255"/>
      <c r="BR5" s="255"/>
      <c r="BS5" s="255"/>
      <c r="BT5" s="255"/>
    </row>
    <row r="6" spans="1:72" ht="14.25">
      <c r="A6" s="189"/>
      <c r="B6" s="189" t="s">
        <v>59</v>
      </c>
      <c r="C6" s="189" t="s">
        <v>60</v>
      </c>
      <c r="D6" s="189" t="s">
        <v>61</v>
      </c>
      <c r="E6" s="189"/>
      <c r="F6" s="189"/>
      <c r="G6" s="192" t="s">
        <v>62</v>
      </c>
      <c r="H6" s="191" t="s">
        <v>63</v>
      </c>
      <c r="I6" s="191" t="s">
        <v>63</v>
      </c>
      <c r="J6" s="191" t="s">
        <v>64</v>
      </c>
      <c r="K6" s="189"/>
      <c r="L6" s="191" t="s">
        <v>65</v>
      </c>
      <c r="N6" s="204">
        <f>Amorts!F10</f>
        <v>96</v>
      </c>
      <c r="O6" s="205">
        <f>Amorts!G10</f>
        <v>2500000</v>
      </c>
      <c r="P6" s="206">
        <f t="shared" si="0"/>
        <v>26041.666666666668</v>
      </c>
      <c r="R6" s="65" t="s">
        <v>66</v>
      </c>
      <c r="S6" s="207">
        <f>COUNTA('Collecte des données'!$G$34:$G$36)</f>
        <v>1</v>
      </c>
      <c r="T6" s="207">
        <f t="shared" si="1"/>
        <v>0</v>
      </c>
      <c r="U6" s="207"/>
      <c r="V6" t="s">
        <v>67</v>
      </c>
      <c r="W6" s="208">
        <f>'Collecte des données'!I29*4</f>
        <v>58000000</v>
      </c>
      <c r="AC6" s="191" t="s">
        <v>65</v>
      </c>
      <c r="AI6" s="67"/>
      <c r="AJ6" s="67"/>
      <c r="BK6" s="255"/>
      <c r="BL6" s="255"/>
      <c r="BM6" s="255"/>
      <c r="BN6" s="255"/>
      <c r="BO6" s="255"/>
      <c r="BP6" s="255"/>
      <c r="BQ6" s="255"/>
      <c r="BR6" s="255"/>
      <c r="BS6" s="255"/>
      <c r="BT6" s="255"/>
    </row>
    <row r="7" spans="1:72" ht="14.25">
      <c r="A7" s="189"/>
      <c r="B7" s="189" t="s">
        <v>68</v>
      </c>
      <c r="C7" s="189" t="s">
        <v>69</v>
      </c>
      <c r="D7" s="189" t="s">
        <v>5</v>
      </c>
      <c r="E7" s="189"/>
      <c r="F7" s="189"/>
      <c r="G7" s="191" t="s">
        <v>70</v>
      </c>
      <c r="H7" s="191" t="s">
        <v>64</v>
      </c>
      <c r="I7" s="191" t="s">
        <v>64</v>
      </c>
      <c r="J7" s="191" t="s">
        <v>71</v>
      </c>
      <c r="K7" s="189"/>
      <c r="L7" s="191" t="s">
        <v>72</v>
      </c>
      <c r="N7" s="204">
        <f>Amorts!F11</f>
        <v>96</v>
      </c>
      <c r="O7" s="205">
        <f>Amorts!G11</f>
        <v>2500000</v>
      </c>
      <c r="P7" s="206">
        <f t="shared" si="0"/>
        <v>26041.666666666668</v>
      </c>
      <c r="R7" s="65" t="s">
        <v>73</v>
      </c>
      <c r="S7" s="207">
        <f>COUNTA('Collecte des données'!$H$34:$H$36)</f>
        <v>1</v>
      </c>
      <c r="T7" s="207">
        <f t="shared" si="1"/>
        <v>0</v>
      </c>
      <c r="U7" s="207"/>
      <c r="V7" t="s">
        <v>74</v>
      </c>
      <c r="W7" s="208">
        <f>'Collecte des données'!I30</f>
        <v>58000000</v>
      </c>
      <c r="AC7" s="191" t="s">
        <v>72</v>
      </c>
      <c r="AI7" s="67"/>
      <c r="AJ7" s="67"/>
    </row>
    <row r="8" spans="1:72" ht="14.25">
      <c r="A8" s="189"/>
      <c r="B8" s="189" t="s">
        <v>5</v>
      </c>
      <c r="C8" s="189" t="s">
        <v>43</v>
      </c>
      <c r="D8" s="189"/>
      <c r="E8" s="189"/>
      <c r="F8" s="189"/>
      <c r="G8" s="192" t="s">
        <v>75</v>
      </c>
      <c r="H8" s="191" t="s">
        <v>71</v>
      </c>
      <c r="I8" s="191" t="s">
        <v>71</v>
      </c>
      <c r="J8" s="191" t="s">
        <v>76</v>
      </c>
      <c r="K8" s="189"/>
      <c r="L8" s="191" t="s">
        <v>77</v>
      </c>
      <c r="N8" s="204">
        <f>Amorts!F12</f>
        <v>96</v>
      </c>
      <c r="O8" s="205">
        <f>Amorts!G12</f>
        <v>35000000</v>
      </c>
      <c r="P8" s="206">
        <f t="shared" si="0"/>
        <v>364583.33333333331</v>
      </c>
      <c r="R8" s="65" t="s">
        <v>78</v>
      </c>
      <c r="S8" s="207">
        <f>COUNTA('Collecte des données'!$I$34:$I$36)</f>
        <v>1</v>
      </c>
      <c r="T8" s="207">
        <f t="shared" si="1"/>
        <v>0</v>
      </c>
      <c r="U8" s="207"/>
      <c r="V8" t="s">
        <v>79</v>
      </c>
      <c r="W8" s="208">
        <f>IF('Collecte des données'!O34="","",'Collecte des données'!O34)</f>
        <v>25000000</v>
      </c>
      <c r="X8" s="39">
        <f>COUNTA('Collecte des données'!C34:N34)</f>
        <v>5</v>
      </c>
      <c r="Y8" s="208">
        <f>IF(X8=MAX($X$8:$X$10),W8,0)</f>
        <v>25000000</v>
      </c>
      <c r="AC8" s="236" t="str">
        <f>IF(Analyse!I9="Modifier cycle",'Collecte des données'!I20,Analyse!I9)</f>
        <v>Mensuelle</v>
      </c>
      <c r="AI8" s="67"/>
      <c r="AJ8" s="67"/>
    </row>
    <row r="9" spans="1:72" ht="14.25">
      <c r="A9" s="189"/>
      <c r="B9" s="189"/>
      <c r="C9" s="189" t="s">
        <v>5</v>
      </c>
      <c r="D9" s="189"/>
      <c r="E9" s="189"/>
      <c r="F9" s="189"/>
      <c r="G9" s="192" t="s">
        <v>5</v>
      </c>
      <c r="H9" s="191" t="s">
        <v>76</v>
      </c>
      <c r="I9" s="191" t="s">
        <v>76</v>
      </c>
      <c r="J9" s="191" t="s">
        <v>80</v>
      </c>
      <c r="K9" s="189"/>
      <c r="N9" s="204">
        <f>Amorts!F13</f>
        <v>0</v>
      </c>
      <c r="O9" s="205">
        <f>Amorts!G13</f>
        <v>0</v>
      </c>
      <c r="P9" s="206" t="e">
        <f t="shared" si="0"/>
        <v>#DIV/0!</v>
      </c>
      <c r="R9" s="65" t="s">
        <v>81</v>
      </c>
      <c r="S9" s="207">
        <f>COUNTA('Collecte des données'!$J$34:$J$36)</f>
        <v>1</v>
      </c>
      <c r="T9" s="207">
        <f t="shared" si="1"/>
        <v>0</v>
      </c>
      <c r="U9" s="207"/>
      <c r="V9" t="s">
        <v>82</v>
      </c>
      <c r="W9" s="208">
        <f>IF('Collecte des données'!O35="","",'Collecte des données'!O35)</f>
        <v>16000000</v>
      </c>
      <c r="X9" s="39">
        <f>COUNTA('Collecte des données'!C35:N35)</f>
        <v>4</v>
      </c>
      <c r="Y9" s="208">
        <f t="shared" ref="Y9:Y10" si="2">IF(X9=MAX($X$8:$X$10),W9,0)</f>
        <v>0</v>
      </c>
      <c r="AC9" s="237">
        <f>IF(AC8=AC2,1,IF(AC8=AC3,2,IF(AC8=AC4,3,IF(AC8=AC5,4,IF(AC8=AC6,6,IF(AC8=AC7,12,IF(AC8="Unique",1,0)))))))</f>
        <v>1</v>
      </c>
      <c r="AI9" s="67"/>
      <c r="AJ9" s="67"/>
    </row>
    <row r="10" spans="1:72" ht="14.25">
      <c r="A10" s="189"/>
      <c r="B10" s="189"/>
      <c r="C10" s="189"/>
      <c r="D10" s="189"/>
      <c r="E10" s="189"/>
      <c r="F10" s="189"/>
      <c r="G10" s="192"/>
      <c r="H10" s="191" t="s">
        <v>80</v>
      </c>
      <c r="I10" s="191" t="s">
        <v>80</v>
      </c>
      <c r="J10" s="191" t="s">
        <v>83</v>
      </c>
      <c r="K10" s="189"/>
      <c r="N10" s="204">
        <f>Amorts!F14</f>
        <v>0</v>
      </c>
      <c r="O10" s="205">
        <f>Amorts!G14</f>
        <v>0</v>
      </c>
      <c r="P10" s="206" t="e">
        <f t="shared" si="0"/>
        <v>#DIV/0!</v>
      </c>
      <c r="R10" s="65" t="s">
        <v>84</v>
      </c>
      <c r="S10" s="207">
        <f>COUNTA('Collecte des données'!$K$34:$K$36)</f>
        <v>1</v>
      </c>
      <c r="T10" s="207">
        <f t="shared" si="1"/>
        <v>0</v>
      </c>
      <c r="U10" s="207"/>
      <c r="V10" t="s">
        <v>85</v>
      </c>
      <c r="W10" s="208">
        <f>IF('Collecte des données'!O36="","",'Collecte des données'!O36)</f>
        <v>10500000</v>
      </c>
      <c r="X10" s="39">
        <f>COUNTA('Collecte des données'!C36:N36)</f>
        <v>3</v>
      </c>
      <c r="Y10" s="208">
        <f t="shared" si="2"/>
        <v>0</v>
      </c>
    </row>
    <row r="11" spans="1:72" ht="14.25">
      <c r="A11" s="189"/>
      <c r="B11" s="189"/>
      <c r="C11" s="189"/>
      <c r="D11" s="189"/>
      <c r="E11" s="189"/>
      <c r="F11" s="189"/>
      <c r="G11" s="192"/>
      <c r="H11" s="191" t="s">
        <v>83</v>
      </c>
      <c r="I11" s="191" t="s">
        <v>86</v>
      </c>
      <c r="J11" s="191" t="s">
        <v>87</v>
      </c>
      <c r="K11" s="189"/>
      <c r="N11" s="204">
        <f>Amorts!F15</f>
        <v>0</v>
      </c>
      <c r="O11" s="205">
        <f>Amorts!G15</f>
        <v>0</v>
      </c>
      <c r="P11" s="206" t="e">
        <f t="shared" si="0"/>
        <v>#DIV/0!</v>
      </c>
      <c r="R11" s="65" t="s">
        <v>88</v>
      </c>
      <c r="S11" s="207">
        <f>COUNTA('Collecte des données'!$L$34:$L$36)</f>
        <v>1</v>
      </c>
      <c r="T11" s="207">
        <f t="shared" si="1"/>
        <v>0</v>
      </c>
      <c r="U11" s="207"/>
      <c r="V11" t="s">
        <v>89</v>
      </c>
      <c r="W11" s="208">
        <f>IF('Collecte des données'!M44=0,"",'Collecte des données'!M44)</f>
        <v>58000000</v>
      </c>
      <c r="AC11" s="238">
        <f>IF('Collecte des données'!I20=AC2,1,IF('Collecte des données'!I20=AC3,2,IF('Collecte des données'!I20=AC4,3,IF('Collecte des données'!I20=AC5,4,IF('Collecte des données'!I20=AC6,6,IF('Collecte des données'!I20=AC7,12,0))))))</f>
        <v>1</v>
      </c>
      <c r="AD11" t="s">
        <v>90</v>
      </c>
    </row>
    <row r="12" spans="1:72" ht="14.25">
      <c r="A12" s="193"/>
      <c r="B12" s="193">
        <v>45595</v>
      </c>
      <c r="C12" s="189"/>
      <c r="D12" s="189"/>
      <c r="E12" s="189"/>
      <c r="F12" s="189"/>
      <c r="G12" s="192"/>
      <c r="H12" s="191" t="s">
        <v>86</v>
      </c>
      <c r="I12" s="191" t="s">
        <v>91</v>
      </c>
      <c r="J12" s="191" t="s">
        <v>92</v>
      </c>
      <c r="K12" s="189"/>
      <c r="N12" s="204">
        <f>Amorts!F16</f>
        <v>0</v>
      </c>
      <c r="O12" s="205">
        <f>Amorts!G16</f>
        <v>0</v>
      </c>
      <c r="P12" s="206" t="e">
        <f t="shared" si="0"/>
        <v>#DIV/0!</v>
      </c>
      <c r="R12" s="65" t="s">
        <v>93</v>
      </c>
      <c r="S12" s="207">
        <f>COUNTA('Collecte des données'!$M$34:$M$36)</f>
        <v>1</v>
      </c>
      <c r="T12" s="207">
        <f t="shared" si="1"/>
        <v>0</v>
      </c>
      <c r="U12" s="207"/>
      <c r="V12" t="s">
        <v>94</v>
      </c>
      <c r="W12" s="208">
        <f>'Collecte des données'!M70</f>
        <v>441000000</v>
      </c>
      <c r="AB12" s="239" t="s">
        <v>95</v>
      </c>
      <c r="AC12" s="240">
        <f>'Collecte des données'!I19</f>
        <v>12</v>
      </c>
      <c r="AD12" s="233">
        <f>AC12/AC9</f>
        <v>12</v>
      </c>
    </row>
    <row r="13" spans="1:72" ht="14.25">
      <c r="A13" s="189"/>
      <c r="B13" s="189"/>
      <c r="C13" s="189"/>
      <c r="D13" s="189"/>
      <c r="E13" s="189"/>
      <c r="F13" s="189"/>
      <c r="G13" s="192"/>
      <c r="H13" s="191" t="s">
        <v>91</v>
      </c>
      <c r="I13" s="191" t="s">
        <v>92</v>
      </c>
      <c r="J13" s="191" t="s">
        <v>96</v>
      </c>
      <c r="K13" s="189"/>
      <c r="N13" s="204">
        <f>Amorts!F17</f>
        <v>0</v>
      </c>
      <c r="O13" s="205">
        <f>Amorts!G17</f>
        <v>0</v>
      </c>
      <c r="P13" s="206" t="e">
        <f t="shared" si="0"/>
        <v>#DIV/0!</v>
      </c>
      <c r="R13" s="65" t="s">
        <v>97</v>
      </c>
      <c r="S13" s="39">
        <f>COUNTA('Collecte des données'!$N$34:$N$36)</f>
        <v>1</v>
      </c>
      <c r="T13" s="207">
        <f t="shared" si="1"/>
        <v>0</v>
      </c>
      <c r="U13" s="39"/>
      <c r="V13" s="209" t="s">
        <v>98</v>
      </c>
      <c r="W13" s="210">
        <f>IF('Collecte des données'!I12="Bon de commande",CRG!W12,MAX(W6:W12))</f>
        <v>441000000</v>
      </c>
      <c r="Y13" s="241">
        <f>IF('Collecte des données'!I12="Bon de commande",CRG!W12,W13)</f>
        <v>441000000</v>
      </c>
      <c r="AB13" t="s">
        <v>90</v>
      </c>
      <c r="AC13" s="236"/>
      <c r="AD13" t="s">
        <v>90</v>
      </c>
    </row>
    <row r="14" spans="1:72" ht="14.25">
      <c r="A14" s="194" t="s">
        <v>99</v>
      </c>
      <c r="H14" s="191" t="s">
        <v>5</v>
      </c>
      <c r="I14" s="191" t="s">
        <v>5</v>
      </c>
      <c r="J14" s="191" t="s">
        <v>5</v>
      </c>
      <c r="N14" s="204">
        <f>Amorts!F18</f>
        <v>0</v>
      </c>
      <c r="O14" s="205">
        <f>Amorts!G18</f>
        <v>0</v>
      </c>
      <c r="P14" s="206" t="e">
        <f t="shared" si="0"/>
        <v>#DIV/0!</v>
      </c>
      <c r="S14" s="211">
        <f>IF(T14&gt;0,1,0)</f>
        <v>0</v>
      </c>
      <c r="T14" s="207">
        <f>SUM(T2:T13)</f>
        <v>0</v>
      </c>
      <c r="U14" s="207"/>
      <c r="V14" s="209" t="s">
        <v>100</v>
      </c>
      <c r="W14" s="210">
        <f>IF('Collecte des données'!I12="Bon de commande",CRG!W12,AVERAGE(W6:W12))</f>
        <v>95214285.714285716</v>
      </c>
      <c r="Y14" s="241">
        <f>IF('Collecte des données'!I12="Bon de commande",CRG!W12,W14)</f>
        <v>95214285.714285716</v>
      </c>
      <c r="AB14" s="239" t="s">
        <v>101</v>
      </c>
      <c r="AC14" s="242">
        <f>Analyse!P90</f>
        <v>12</v>
      </c>
      <c r="AD14" s="233">
        <f>AC14/AC9</f>
        <v>12</v>
      </c>
    </row>
    <row r="15" spans="1:72">
      <c r="A15" t="s">
        <v>102</v>
      </c>
      <c r="N15" s="204">
        <f>Amorts!F19</f>
        <v>0</v>
      </c>
      <c r="O15" s="205">
        <f>Amorts!G19</f>
        <v>0</v>
      </c>
      <c r="P15" s="206" t="e">
        <f t="shared" si="0"/>
        <v>#DIV/0!</v>
      </c>
      <c r="V15" s="209" t="s">
        <v>103</v>
      </c>
      <c r="W15" s="210">
        <f>IF('Collecte des données'!I12="Bon de commande",CRG!W12,MIN(W6:W12))</f>
        <v>10500000</v>
      </c>
      <c r="Y15" s="243">
        <f>IF('Collecte des données'!I12="Bon de commande",CRG!W12,W15)</f>
        <v>10500000</v>
      </c>
      <c r="AC15" s="236"/>
    </row>
    <row r="16" spans="1:72">
      <c r="A16" t="s">
        <v>104</v>
      </c>
      <c r="N16" s="204">
        <f>Amorts!F20</f>
        <v>0</v>
      </c>
      <c r="O16" s="205">
        <f>Amorts!G20</f>
        <v>0</v>
      </c>
      <c r="P16" s="206" t="e">
        <f t="shared" si="0"/>
        <v>#DIV/0!</v>
      </c>
      <c r="V16" s="212" t="s">
        <v>105</v>
      </c>
      <c r="W16" s="213"/>
      <c r="Y16" s="244">
        <f>IF(Analyse!G39=CRG!Y1,CRG!Y15,IF(Analyse!G39=CRG!Y2,W14,IF(Analyse!G39=CRG!Y3,W13,"")))</f>
        <v>441000000</v>
      </c>
    </row>
    <row r="17" spans="1:70">
      <c r="A17" t="s">
        <v>106</v>
      </c>
      <c r="N17" s="204">
        <f>Amorts!F21</f>
        <v>0</v>
      </c>
      <c r="O17" s="205">
        <f>Amorts!G21</f>
        <v>0</v>
      </c>
      <c r="P17" s="206" t="e">
        <f t="shared" si="0"/>
        <v>#DIV/0!</v>
      </c>
      <c r="V17" t="s">
        <v>107</v>
      </c>
      <c r="W17" s="214">
        <f>'Collecte des données'!P47</f>
        <v>0.34</v>
      </c>
      <c r="AB17" t="s">
        <v>108</v>
      </c>
      <c r="AC17" s="245">
        <f>'Collecte des données'!I18/'Collecte des données'!I22</f>
        <v>5000000</v>
      </c>
      <c r="AD17">
        <f>Analyse!P89/Analyse!T90</f>
        <v>5000000</v>
      </c>
    </row>
    <row r="18" spans="1:70">
      <c r="A18" t="s">
        <v>109</v>
      </c>
      <c r="N18" s="204">
        <f>Amorts!F22</f>
        <v>0</v>
      </c>
      <c r="O18" s="205">
        <f>Amorts!G22</f>
        <v>0</v>
      </c>
      <c r="P18" s="206" t="e">
        <f t="shared" si="0"/>
        <v>#DIV/0!</v>
      </c>
      <c r="V18" t="s">
        <v>110</v>
      </c>
      <c r="W18" s="215">
        <f>'Collecte des données'!T70</f>
        <v>0.3448979591836735</v>
      </c>
      <c r="AA18" s="246" t="s">
        <v>111</v>
      </c>
      <c r="AB18" s="246" t="s">
        <v>112</v>
      </c>
      <c r="AC18" t="s">
        <v>113</v>
      </c>
      <c r="AD18" t="s">
        <v>114</v>
      </c>
    </row>
    <row r="19" spans="1:70">
      <c r="A19" t="s">
        <v>115</v>
      </c>
      <c r="N19" s="204">
        <f>Amorts!F23</f>
        <v>0</v>
      </c>
      <c r="O19" s="205">
        <f>Amorts!G23</f>
        <v>0</v>
      </c>
      <c r="P19" s="206" t="e">
        <f t="shared" si="0"/>
        <v>#DIV/0!</v>
      </c>
      <c r="V19" t="s">
        <v>116</v>
      </c>
      <c r="W19" s="215">
        <f>MAX('Collecte des données'!T55:T69)</f>
        <v>0.55000000000000004</v>
      </c>
      <c r="Z19" s="65" t="s">
        <v>117</v>
      </c>
      <c r="AA19" s="247">
        <f>IFERROR((AA28/'Collecte des données'!I23),"Informations manquantes")</f>
        <v>1.9928172942817295</v>
      </c>
      <c r="AB19" s="247">
        <f>IFERROR((AA28/Analyse!P91),"Informations manquantes")</f>
        <v>1.9928172942817295</v>
      </c>
      <c r="AC19" s="247">
        <f>IFERROR(((AA28+AC17)/'Collecte des données'!I23),"Informations manquantes")</f>
        <v>2.0625523012552303</v>
      </c>
      <c r="AD19">
        <f>IFERROR(((AA28+AD17)/Analyse!P91),"Information manquante")</f>
        <v>2.0625523012552303</v>
      </c>
    </row>
    <row r="20" spans="1:70">
      <c r="A20" t="s">
        <v>118</v>
      </c>
      <c r="N20" s="204">
        <f>Amorts!F24</f>
        <v>0</v>
      </c>
      <c r="O20" s="205">
        <f>Amorts!G24</f>
        <v>0</v>
      </c>
      <c r="P20" s="206" t="e">
        <f t="shared" si="0"/>
        <v>#DIV/0!</v>
      </c>
      <c r="V20" t="s">
        <v>119</v>
      </c>
      <c r="W20" s="215">
        <f>MIN('Collecte des données'!T55:T69)</f>
        <v>0.13333333333333333</v>
      </c>
      <c r="Z20" s="65" t="s">
        <v>120</v>
      </c>
      <c r="AA20" s="214">
        <f>IFERROR((Analyse!I27/Analyse!I32),"Information manquante")</f>
        <v>1</v>
      </c>
      <c r="AB20" s="215">
        <f>AA20</f>
        <v>1</v>
      </c>
    </row>
    <row r="21" spans="1:70" ht="18">
      <c r="A21" t="s">
        <v>121</v>
      </c>
      <c r="N21" s="204">
        <f>Amorts!F25</f>
        <v>0</v>
      </c>
      <c r="O21" s="205">
        <f>Amorts!G25</f>
        <v>0</v>
      </c>
      <c r="P21" s="206" t="e">
        <f t="shared" si="0"/>
        <v>#DIV/0!</v>
      </c>
      <c r="Z21" s="65" t="s">
        <v>122</v>
      </c>
      <c r="AA21" s="214" t="str">
        <f>IFERROR(((Analyse!I23+Analyse!I24)/(Analyse!I29+Analyse!I30)),"Information manquante")</f>
        <v>Information manquante</v>
      </c>
      <c r="AB21" s="215" t="str">
        <f>AA21</f>
        <v>Information manquante</v>
      </c>
      <c r="BM21" s="254" t="s">
        <v>123</v>
      </c>
      <c r="BN21" s="254"/>
      <c r="BO21" s="254"/>
      <c r="BP21" s="254"/>
      <c r="BQ21" s="254"/>
      <c r="BR21" s="254"/>
    </row>
    <row r="22" spans="1:70">
      <c r="N22" s="204">
        <f>Amorts!F26</f>
        <v>0</v>
      </c>
      <c r="O22" s="205">
        <f>Amorts!G26</f>
        <v>0</v>
      </c>
      <c r="P22" s="206" t="e">
        <f t="shared" si="0"/>
        <v>#DIV/0!</v>
      </c>
      <c r="V22" t="s">
        <v>124</v>
      </c>
      <c r="W22" s="216">
        <f>Y16*AA5</f>
        <v>152100000</v>
      </c>
      <c r="Z22" s="65" t="s">
        <v>125</v>
      </c>
      <c r="AA22" s="214">
        <f>IFERROR(((Analyse!I28+Analyse!I29+Analyse!I30+'Collecte des données'!I18)/(Analyse!I32+'Collecte des données'!I18)),"Information manquante")</f>
        <v>0.28570068091995621</v>
      </c>
      <c r="AB22" s="214">
        <f>IFERROR(((Analyse!I28+Analyse!I29+Analyse!I30+Analyse!P89)/(Analyse!I32+Analyse!P89)),"Information manquante")</f>
        <v>0.28570068091995621</v>
      </c>
    </row>
    <row r="23" spans="1:70">
      <c r="N23" s="204">
        <f>Amorts!F27</f>
        <v>0</v>
      </c>
      <c r="O23" s="205">
        <f>Amorts!G27</f>
        <v>0</v>
      </c>
      <c r="P23" s="206" t="e">
        <f t="shared" si="0"/>
        <v>#DIV/0!</v>
      </c>
      <c r="V23" t="s">
        <v>126</v>
      </c>
      <c r="W23" s="216">
        <f>Y16-W22</f>
        <v>288900000</v>
      </c>
      <c r="Z23" s="65" t="s">
        <v>127</v>
      </c>
      <c r="AA23" s="214">
        <f>IFERROR((Analyse!I61/(Analyse!I57+Analyse!I61)),"Information manquante")</f>
        <v>1.757217036804911E-2</v>
      </c>
      <c r="AB23" s="215">
        <f>AA23</f>
        <v>1.757217036804911E-2</v>
      </c>
    </row>
    <row r="24" spans="1:70" ht="15">
      <c r="B24" s="195"/>
      <c r="C24" s="196"/>
      <c r="D24" s="196"/>
      <c r="N24" s="204">
        <f>Amorts!F28</f>
        <v>0</v>
      </c>
      <c r="O24" s="205">
        <f>Amorts!G28</f>
        <v>0</v>
      </c>
      <c r="P24" s="206" t="e">
        <f t="shared" si="0"/>
        <v>#DIV/0!</v>
      </c>
      <c r="V24" s="217" t="s">
        <v>128</v>
      </c>
      <c r="W24" s="218">
        <f>'Collecte des données'!P179</f>
        <v>520000</v>
      </c>
      <c r="X24" s="217"/>
      <c r="Y24" s="217"/>
      <c r="Z24" s="65" t="s">
        <v>129</v>
      </c>
      <c r="AA24" s="214">
        <f>IFERROR(('Collecte des données'!I24/'Collecte des données'!I18),"Information manquante")</f>
        <v>1.7666666666666666</v>
      </c>
      <c r="AB24" s="214">
        <f>IFERROR(('Collecte des données'!I24/Analyse!P89),"Information manquante")</f>
        <v>1.7666666666666666</v>
      </c>
    </row>
    <row r="25" spans="1:70" ht="15">
      <c r="B25" s="195"/>
      <c r="C25" s="197"/>
      <c r="D25" s="197"/>
      <c r="E25" s="197"/>
      <c r="N25" s="204">
        <f>Amorts!F29</f>
        <v>0</v>
      </c>
      <c r="O25" s="205">
        <f>Amorts!G29</f>
        <v>0</v>
      </c>
      <c r="P25" s="206" t="e">
        <f t="shared" si="0"/>
        <v>#DIV/0!</v>
      </c>
      <c r="V25" s="217" t="s">
        <v>130</v>
      </c>
      <c r="W25" s="218">
        <f>W62</f>
        <v>0</v>
      </c>
      <c r="X25" s="217"/>
      <c r="Y25" s="217"/>
      <c r="Z25" s="65" t="s">
        <v>131</v>
      </c>
      <c r="AA25" s="214">
        <f>IFERROR(((Analyse!I59+Analyse!I61+AC17)/'Collecte des données'!I23),"Informations manquantes")</f>
        <v>2.0625523012552303</v>
      </c>
      <c r="AB25" s="214">
        <f>IFERROR(((Analyse!I59+Analyse!I61+AD17)/Analyse!P91),"Information manquante")</f>
        <v>2.0625523012552303</v>
      </c>
    </row>
    <row r="26" spans="1:70" ht="14.25">
      <c r="B26" s="198"/>
      <c r="C26" s="198"/>
      <c r="D26" s="198"/>
      <c r="E26" s="198"/>
      <c r="N26" s="204">
        <f>Amorts!F30</f>
        <v>0</v>
      </c>
      <c r="O26" s="205">
        <f>Amorts!G30</f>
        <v>0</v>
      </c>
      <c r="P26" s="206" t="e">
        <f t="shared" si="0"/>
        <v>#DIV/0!</v>
      </c>
      <c r="V26" s="217" t="s">
        <v>132</v>
      </c>
      <c r="W26" s="218">
        <f>'Collecte des données'!P176</f>
        <v>1300000</v>
      </c>
      <c r="X26" s="217"/>
      <c r="Y26" s="217"/>
      <c r="Z26" s="248" t="s">
        <v>133</v>
      </c>
      <c r="AA26" s="214">
        <f>IF('Collecte des données'!I12="Fonds de roulement",CRG!AA25,CRG!AA19)</f>
        <v>2.0625523012552303</v>
      </c>
      <c r="AB26" s="214">
        <f>IF('Collecte des données'!I12="Fonds de roulement",AB25,AB19)</f>
        <v>2.0625523012552303</v>
      </c>
    </row>
    <row r="27" spans="1:70" ht="15">
      <c r="B27" s="195"/>
      <c r="C27" s="198"/>
      <c r="D27" s="198"/>
      <c r="E27" s="198"/>
      <c r="N27" s="204">
        <f>Amorts!F31</f>
        <v>0</v>
      </c>
      <c r="O27" s="205">
        <f>Amorts!G31</f>
        <v>0</v>
      </c>
      <c r="P27" s="206" t="e">
        <f t="shared" si="0"/>
        <v>#DIV/0!</v>
      </c>
      <c r="V27" s="217" t="s">
        <v>134</v>
      </c>
      <c r="W27" s="218">
        <f>'Collecte des données'!P197+'Collecte des données'!P200+'Collecte des données'!P203</f>
        <v>6000000</v>
      </c>
      <c r="X27" s="217"/>
      <c r="Y27" s="217"/>
      <c r="Z27" s="217"/>
    </row>
    <row r="28" spans="1:70" ht="18.75">
      <c r="B28" s="195"/>
      <c r="C28" s="199"/>
      <c r="D28" s="199"/>
      <c r="E28" s="199"/>
      <c r="F28" s="199"/>
      <c r="N28" s="204">
        <f>Amorts!F32</f>
        <v>0</v>
      </c>
      <c r="O28" s="205">
        <f>Amorts!G32</f>
        <v>0</v>
      </c>
      <c r="P28" s="206" t="e">
        <f t="shared" si="0"/>
        <v>#DIV/0!</v>
      </c>
      <c r="V28" s="217" t="s">
        <v>135</v>
      </c>
      <c r="W28" s="218">
        <f>'Collecte des données'!P188+'Collecte des données'!P191+'Collecte des données'!P194</f>
        <v>1090000</v>
      </c>
      <c r="X28" s="217"/>
      <c r="Y28" s="217"/>
      <c r="Z28" s="217">
        <f>IF(Analyse!E90="Capacité de remb. déclarée",1,2)</f>
        <v>2</v>
      </c>
      <c r="AA28">
        <f>IF(Analyse!E90="Capacité de remb. déclarée",CRG!AA30,CRG!AA29)</f>
        <v>142885000</v>
      </c>
    </row>
    <row r="29" spans="1:70" ht="27">
      <c r="B29" s="195"/>
      <c r="N29" s="204">
        <f>Amorts!F33</f>
        <v>0</v>
      </c>
      <c r="O29" s="205">
        <f>Amorts!G33</f>
        <v>0</v>
      </c>
      <c r="P29" s="206" t="e">
        <f t="shared" si="0"/>
        <v>#DIV/0!</v>
      </c>
      <c r="V29" s="217" t="s">
        <v>136</v>
      </c>
      <c r="W29" s="218">
        <f>'Collecte des données'!P182</f>
        <v>0</v>
      </c>
      <c r="X29" s="217"/>
      <c r="Y29" s="217"/>
      <c r="Z29" s="217" t="s">
        <v>137</v>
      </c>
      <c r="AA29">
        <f>Analyse!I63</f>
        <v>142885000</v>
      </c>
    </row>
    <row r="30" spans="1:70" ht="27">
      <c r="B30" s="195"/>
      <c r="C30" s="200"/>
      <c r="D30" s="200"/>
      <c r="E30" s="200"/>
      <c r="F30" s="200"/>
      <c r="N30" s="204">
        <f>Amorts!F34</f>
        <v>0</v>
      </c>
      <c r="O30" s="205">
        <f>Amorts!G34</f>
        <v>0</v>
      </c>
      <c r="P30" s="206" t="e">
        <f t="shared" si="0"/>
        <v>#DIV/0!</v>
      </c>
      <c r="V30" s="217" t="s">
        <v>138</v>
      </c>
      <c r="W30" s="218">
        <f>'Collecte des données'!P206</f>
        <v>200000</v>
      </c>
      <c r="X30" s="217"/>
      <c r="Y30" s="217"/>
      <c r="Z30" s="217" t="s">
        <v>139</v>
      </c>
      <c r="AA30">
        <f>IF('Collecte des données'!I25="",0,'Collecte des données'!I25)</f>
        <v>6700000</v>
      </c>
    </row>
    <row r="31" spans="1:70" ht="15">
      <c r="B31" s="195"/>
      <c r="C31" s="197"/>
      <c r="D31" s="197"/>
      <c r="E31" s="197"/>
      <c r="F31" s="197"/>
      <c r="N31" s="204">
        <f>Amorts!F35</f>
        <v>0</v>
      </c>
      <c r="O31" s="205">
        <f>Amorts!G35</f>
        <v>0</v>
      </c>
      <c r="P31" s="206" t="e">
        <f t="shared" si="0"/>
        <v>#DIV/0!</v>
      </c>
      <c r="V31" s="217" t="s">
        <v>140</v>
      </c>
      <c r="W31" s="218">
        <f>'Collecte des données'!P209</f>
        <v>720000</v>
      </c>
      <c r="X31" s="217"/>
      <c r="Y31" s="217"/>
      <c r="Z31" s="217"/>
    </row>
    <row r="32" spans="1:70" ht="15">
      <c r="B32" s="195"/>
      <c r="C32" s="197"/>
      <c r="D32" s="197"/>
      <c r="E32" s="197"/>
      <c r="F32" s="197"/>
      <c r="N32" s="204">
        <f>Amorts!F36</f>
        <v>0</v>
      </c>
      <c r="O32" s="205">
        <f>Amorts!G36</f>
        <v>0</v>
      </c>
      <c r="P32" s="206" t="e">
        <f t="shared" si="0"/>
        <v>#DIV/0!</v>
      </c>
      <c r="V32" s="217" t="s">
        <v>141</v>
      </c>
      <c r="W32" s="218">
        <f>'Collecte des données'!P185</f>
        <v>0</v>
      </c>
      <c r="X32" s="217"/>
      <c r="Y32" s="217"/>
      <c r="Z32" s="217"/>
    </row>
    <row r="33" spans="2:27" ht="15">
      <c r="B33" s="195"/>
      <c r="C33" s="197"/>
      <c r="D33" s="197"/>
      <c r="E33" s="197"/>
      <c r="F33" s="197"/>
      <c r="N33" s="204">
        <f>Amorts!F37</f>
        <v>0</v>
      </c>
      <c r="O33" s="205">
        <f>Amorts!G37</f>
        <v>0</v>
      </c>
      <c r="P33" s="206" t="e">
        <f t="shared" si="0"/>
        <v>#DIV/0!</v>
      </c>
      <c r="V33" s="217" t="s">
        <v>142</v>
      </c>
      <c r="W33" s="218">
        <f>'Collecte des données'!P221</f>
        <v>85000</v>
      </c>
      <c r="X33" s="217"/>
      <c r="Y33" s="217"/>
      <c r="Z33" s="27"/>
    </row>
    <row r="34" spans="2:27" ht="15">
      <c r="B34" s="195"/>
      <c r="C34" s="197"/>
      <c r="D34" s="197"/>
      <c r="E34" s="197"/>
      <c r="F34" s="197"/>
      <c r="N34" s="204">
        <f>Amorts!F38</f>
        <v>0</v>
      </c>
      <c r="O34" s="205">
        <f>Amorts!G38</f>
        <v>0</v>
      </c>
      <c r="P34" s="206" t="e">
        <f t="shared" si="0"/>
        <v>#DIV/0!</v>
      </c>
      <c r="V34" s="217" t="s">
        <v>143</v>
      </c>
      <c r="W34" s="218">
        <f>'Collecte des données'!P215+'Collecte des données'!P218</f>
        <v>1800000</v>
      </c>
      <c r="X34" s="217"/>
      <c r="Y34" s="217"/>
      <c r="Z34" s="27"/>
    </row>
    <row r="35" spans="2:27" ht="15">
      <c r="B35" s="195"/>
      <c r="C35" s="197"/>
      <c r="D35" s="197"/>
      <c r="E35" s="197"/>
      <c r="F35" s="197"/>
      <c r="N35" s="204">
        <f>Amorts!F39</f>
        <v>0</v>
      </c>
      <c r="O35" s="205">
        <f>Amorts!G39</f>
        <v>0</v>
      </c>
      <c r="P35" s="206" t="e">
        <f t="shared" si="0"/>
        <v>#DIV/0!</v>
      </c>
      <c r="V35" s="217" t="s">
        <v>144</v>
      </c>
      <c r="W35" s="218">
        <f>'Collecte des données'!P230</f>
        <v>0</v>
      </c>
      <c r="X35" s="217"/>
      <c r="Y35" s="217"/>
      <c r="Z35" s="27"/>
    </row>
    <row r="36" spans="2:27" ht="15">
      <c r="B36" s="195"/>
      <c r="C36" s="197"/>
      <c r="D36" s="197"/>
      <c r="E36" s="197"/>
      <c r="F36" s="197"/>
      <c r="N36" s="204">
        <f>Amorts!F40</f>
        <v>0</v>
      </c>
      <c r="O36" s="205">
        <f>Amorts!G40</f>
        <v>0</v>
      </c>
      <c r="P36" s="206" t="e">
        <f t="shared" si="0"/>
        <v>#DIV/0!</v>
      </c>
      <c r="V36" s="217" t="s">
        <v>145</v>
      </c>
      <c r="W36" s="218">
        <f>'Collecte des données'!P212+'Collecte des données'!P224+'Collecte des données'!P233</f>
        <v>0</v>
      </c>
      <c r="X36" s="217"/>
      <c r="Y36" s="217"/>
      <c r="Z36" s="27"/>
    </row>
    <row r="37" spans="2:27" ht="15">
      <c r="B37" s="195"/>
      <c r="C37" s="197"/>
      <c r="D37" s="197"/>
      <c r="E37" s="197"/>
      <c r="F37" s="197"/>
      <c r="N37" s="204">
        <f>Amorts!F41</f>
        <v>0</v>
      </c>
      <c r="O37" s="205">
        <f>Amorts!G41</f>
        <v>0</v>
      </c>
      <c r="P37" s="206" t="e">
        <f t="shared" si="0"/>
        <v>#DIV/0!</v>
      </c>
      <c r="V37" s="219" t="s">
        <v>146</v>
      </c>
      <c r="W37" s="220">
        <f>'Collecte des données'!P227</f>
        <v>0</v>
      </c>
    </row>
    <row r="38" spans="2:27" ht="18.75">
      <c r="B38" s="195"/>
      <c r="C38" s="199"/>
      <c r="D38" s="199"/>
      <c r="E38" s="199"/>
      <c r="F38" s="199"/>
      <c r="N38" s="204">
        <f>Amorts!F42</f>
        <v>0</v>
      </c>
      <c r="O38" s="205">
        <f>Amorts!G42</f>
        <v>0</v>
      </c>
      <c r="P38" s="206" t="e">
        <f t="shared" si="0"/>
        <v>#DIV/0!</v>
      </c>
      <c r="V38" s="221" t="s">
        <v>147</v>
      </c>
      <c r="W38" s="222">
        <f>SUMIFS(Amorts!H6:'Amorts'!H105,Amorts!S6:'Amorts'!S105,"OUI")</f>
        <v>614583.33333333326</v>
      </c>
    </row>
    <row r="39" spans="2:27" ht="15">
      <c r="B39" s="195"/>
      <c r="N39" s="204">
        <f>Amorts!F43</f>
        <v>0</v>
      </c>
      <c r="O39" s="205">
        <f>Amorts!G43</f>
        <v>0</v>
      </c>
      <c r="P39" s="206" t="e">
        <f t="shared" si="0"/>
        <v>#DIV/0!</v>
      </c>
      <c r="V39" s="217" t="s">
        <v>148</v>
      </c>
      <c r="W39" s="223">
        <f>'Collecte des données'!P76</f>
        <v>0</v>
      </c>
      <c r="X39" s="217"/>
      <c r="Y39" s="249"/>
      <c r="Z39" s="249"/>
      <c r="AA39" s="249"/>
    </row>
    <row r="40" spans="2:27" ht="15">
      <c r="B40" s="195"/>
      <c r="N40" s="204">
        <f>Amorts!F44</f>
        <v>0</v>
      </c>
      <c r="O40" s="205">
        <f>Amorts!G44</f>
        <v>0</v>
      </c>
      <c r="P40" s="206" t="e">
        <f t="shared" si="0"/>
        <v>#DIV/0!</v>
      </c>
      <c r="V40" s="217" t="s">
        <v>102</v>
      </c>
      <c r="W40" s="224">
        <f>SUMIFS(Amorts!$K$6:'Amorts'!$K$105,Amorts!$D$6:$D$105,V40)</f>
        <v>2500000</v>
      </c>
      <c r="X40" s="217"/>
      <c r="Y40" s="217"/>
      <c r="Z40" s="248"/>
      <c r="AA40" s="248"/>
    </row>
    <row r="41" spans="2:27" ht="15">
      <c r="B41" s="195"/>
      <c r="N41" s="204">
        <f>Amorts!F45</f>
        <v>0</v>
      </c>
      <c r="O41" s="205">
        <f>Amorts!G45</f>
        <v>0</v>
      </c>
      <c r="P41" s="206" t="e">
        <f t="shared" si="0"/>
        <v>#DIV/0!</v>
      </c>
      <c r="V41" s="217" t="s">
        <v>104</v>
      </c>
      <c r="W41" s="224">
        <f>SUMIFS(Amorts!$K$6:'Amorts'!$K$105,Amorts!$D$6:$D$105,V41)</f>
        <v>0</v>
      </c>
      <c r="X41" s="217"/>
      <c r="Y41" s="217"/>
      <c r="Z41" s="217"/>
      <c r="AA41" s="248"/>
    </row>
    <row r="42" spans="2:27" ht="15">
      <c r="B42" s="195"/>
      <c r="N42" s="204">
        <f>Amorts!F46</f>
        <v>0</v>
      </c>
      <c r="O42" s="205">
        <f>Amorts!G46</f>
        <v>0</v>
      </c>
      <c r="P42" s="206" t="e">
        <f t="shared" si="0"/>
        <v>#DIV/0!</v>
      </c>
      <c r="V42" s="217" t="s">
        <v>106</v>
      </c>
      <c r="W42" s="224">
        <f>SUMIFS(Amorts!$K$6:'Amorts'!$K$105,Amorts!$D$6:$D$105,V42)</f>
        <v>0</v>
      </c>
      <c r="X42" s="217"/>
      <c r="Y42" s="217"/>
      <c r="Z42" s="217"/>
      <c r="AA42" s="248"/>
    </row>
    <row r="43" spans="2:27" ht="15">
      <c r="B43" s="195"/>
      <c r="N43" s="204">
        <f>Amorts!F47</f>
        <v>0</v>
      </c>
      <c r="O43" s="205">
        <f>Amorts!G47</f>
        <v>0</v>
      </c>
      <c r="P43" s="206" t="e">
        <f t="shared" si="0"/>
        <v>#DIV/0!</v>
      </c>
      <c r="V43" s="217" t="s">
        <v>109</v>
      </c>
      <c r="W43" s="224">
        <f>SUMIFS(Amorts!$K$6:'Amorts'!$K$105,Amorts!$D$6:$D$105,V43)</f>
        <v>21500000</v>
      </c>
      <c r="X43" s="217"/>
      <c r="Y43" s="217"/>
      <c r="Z43" s="217"/>
      <c r="AA43" s="248"/>
    </row>
    <row r="44" spans="2:27" ht="15">
      <c r="B44" s="195"/>
      <c r="N44" s="204">
        <f>Amorts!F48</f>
        <v>0</v>
      </c>
      <c r="O44" s="205">
        <f>Amorts!G48</f>
        <v>0</v>
      </c>
      <c r="P44" s="206" t="e">
        <f t="shared" si="0"/>
        <v>#DIV/0!</v>
      </c>
      <c r="V44" s="217" t="s">
        <v>115</v>
      </c>
      <c r="W44" s="224">
        <f>SUMIFS(Amorts!$K$6:'Amorts'!$K$105,Amorts!$D$6:$D$105,V44)</f>
        <v>0</v>
      </c>
      <c r="X44" s="217"/>
      <c r="Y44" s="217"/>
      <c r="Z44" s="217"/>
      <c r="AA44" s="248"/>
    </row>
    <row r="45" spans="2:27" ht="14.25">
      <c r="N45" s="204">
        <f>Amorts!F49</f>
        <v>0</v>
      </c>
      <c r="O45" s="205">
        <f>Amorts!G49</f>
        <v>0</v>
      </c>
      <c r="P45" s="206" t="e">
        <f t="shared" si="0"/>
        <v>#DIV/0!</v>
      </c>
      <c r="V45" s="217" t="s">
        <v>118</v>
      </c>
      <c r="W45" s="224">
        <f>SUMIFS(Amorts!$K$6:'Amorts'!$K$105,Amorts!$D$6:$D$105,V45)</f>
        <v>20000000</v>
      </c>
      <c r="X45" s="217"/>
      <c r="Y45" s="217"/>
      <c r="Z45" s="217"/>
      <c r="AA45" s="248"/>
    </row>
    <row r="46" spans="2:27" ht="14.25">
      <c r="N46" s="204">
        <f>Amorts!F50</f>
        <v>0</v>
      </c>
      <c r="O46" s="205">
        <f>Amorts!G50</f>
        <v>0</v>
      </c>
      <c r="P46" s="206" t="e">
        <f t="shared" si="0"/>
        <v>#DIV/0!</v>
      </c>
      <c r="V46" s="217" t="s">
        <v>121</v>
      </c>
      <c r="W46" s="225">
        <f>'Collecte des données'!P94+'Collecte des données'!P97</f>
        <v>6000000</v>
      </c>
      <c r="X46" s="217"/>
      <c r="Y46" s="217"/>
      <c r="Z46" s="217"/>
      <c r="AA46" s="248"/>
    </row>
    <row r="47" spans="2:27" ht="14.25">
      <c r="N47" s="204">
        <f>Amorts!F51</f>
        <v>0</v>
      </c>
      <c r="O47" s="205">
        <f>Amorts!G51</f>
        <v>0</v>
      </c>
      <c r="P47" s="206" t="e">
        <f t="shared" si="0"/>
        <v>#DIV/0!</v>
      </c>
      <c r="V47" s="27" t="s">
        <v>149</v>
      </c>
      <c r="W47" s="226">
        <f>IF('Collecte des données'!I101="OUI",'Collecte des données'!M121,'Collecte des données'!P100)</f>
        <v>62510000</v>
      </c>
      <c r="X47" s="27"/>
      <c r="Y47" s="27"/>
      <c r="Z47" s="27"/>
      <c r="AA47" s="27"/>
    </row>
    <row r="48" spans="2:27" ht="14.25">
      <c r="N48" s="204">
        <f>Amorts!F52</f>
        <v>0</v>
      </c>
      <c r="O48" s="205">
        <f>Amorts!G52</f>
        <v>0</v>
      </c>
      <c r="P48" s="206" t="e">
        <f t="shared" si="0"/>
        <v>#DIV/0!</v>
      </c>
      <c r="V48" s="27" t="s">
        <v>150</v>
      </c>
      <c r="W48" s="226">
        <f>W49+W50</f>
        <v>16500000</v>
      </c>
      <c r="X48" s="27"/>
      <c r="Y48" s="27"/>
      <c r="Z48" s="27"/>
      <c r="AA48" s="27"/>
    </row>
    <row r="49" spans="14:27" ht="14.25">
      <c r="N49" s="204"/>
      <c r="O49" s="205"/>
      <c r="P49" s="206"/>
      <c r="V49" s="227" t="s">
        <v>151</v>
      </c>
      <c r="W49" s="226">
        <f>'Collecte des données'!J129</f>
        <v>6500000</v>
      </c>
      <c r="X49" s="27"/>
      <c r="Y49" s="27"/>
      <c r="Z49" s="27"/>
      <c r="AA49" s="27"/>
    </row>
    <row r="50" spans="14:27" ht="14.25">
      <c r="N50" s="204"/>
      <c r="O50" s="205"/>
      <c r="P50" s="206"/>
      <c r="V50" s="227" t="s">
        <v>152</v>
      </c>
      <c r="W50" s="226">
        <f>'Collecte des données'!J128</f>
        <v>10000000</v>
      </c>
      <c r="X50" s="27"/>
      <c r="Y50" s="27"/>
      <c r="Z50" s="27"/>
      <c r="AA50" s="27"/>
    </row>
    <row r="51" spans="14:27" ht="14.65" customHeight="1">
      <c r="N51" s="204">
        <f>Amorts!F53</f>
        <v>0</v>
      </c>
      <c r="O51" s="205">
        <f>Amorts!G53</f>
        <v>0</v>
      </c>
      <c r="P51" s="206" t="e">
        <f t="shared" si="0"/>
        <v>#DIV/0!</v>
      </c>
      <c r="V51" s="27" t="s">
        <v>153</v>
      </c>
      <c r="W51" s="226">
        <f>'Collecte des données'!P132+'Collecte des données'!P135+'Collecte des données'!P138+'Collecte des données'!P141</f>
        <v>21000000</v>
      </c>
      <c r="X51" s="27"/>
      <c r="Y51" s="27"/>
      <c r="Z51" s="27"/>
      <c r="AA51" s="27"/>
    </row>
    <row r="52" spans="14:27" ht="14.25">
      <c r="N52" s="204">
        <f>Amorts!F54</f>
        <v>0</v>
      </c>
      <c r="O52" s="205">
        <f>Amorts!G54</f>
        <v>0</v>
      </c>
      <c r="P52" s="206" t="e">
        <f t="shared" si="0"/>
        <v>#DIV/0!</v>
      </c>
      <c r="V52" s="27"/>
      <c r="W52" s="27"/>
      <c r="X52" s="27"/>
      <c r="Y52" s="27"/>
      <c r="Z52" s="27"/>
      <c r="AA52" s="27"/>
    </row>
    <row r="53" spans="14:27" ht="15">
      <c r="N53" s="204">
        <f>Amorts!F55</f>
        <v>0</v>
      </c>
      <c r="O53" s="205">
        <f>Amorts!G55</f>
        <v>0</v>
      </c>
      <c r="P53" s="206" t="e">
        <f t="shared" si="0"/>
        <v>#DIV/0!</v>
      </c>
      <c r="V53" s="228" t="s">
        <v>154</v>
      </c>
      <c r="W53" s="228"/>
      <c r="X53" s="228"/>
      <c r="Y53" s="228"/>
      <c r="Z53" s="228"/>
      <c r="AA53" s="228"/>
    </row>
    <row r="54" spans="14:27" ht="14.65" customHeight="1">
      <c r="N54" s="204">
        <f>Amorts!F56</f>
        <v>0</v>
      </c>
      <c r="O54" s="205">
        <f>Amorts!G56</f>
        <v>0</v>
      </c>
      <c r="P54" s="206" t="e">
        <f t="shared" si="0"/>
        <v>#DIV/0!</v>
      </c>
      <c r="V54" s="27" t="s">
        <v>155</v>
      </c>
      <c r="W54" s="229"/>
      <c r="X54" s="27"/>
      <c r="Y54" s="27"/>
      <c r="Z54" s="27"/>
      <c r="AA54" s="27"/>
    </row>
    <row r="55" spans="14:27" ht="14.25">
      <c r="N55" s="204">
        <f>Amorts!F57</f>
        <v>0</v>
      </c>
      <c r="O55" s="205">
        <f>Amorts!G57</f>
        <v>0</v>
      </c>
      <c r="P55" s="206" t="e">
        <f t="shared" si="0"/>
        <v>#DIV/0!</v>
      </c>
      <c r="V55" s="27" t="s">
        <v>156</v>
      </c>
      <c r="W55" s="229">
        <f>'Collecte des données'!P147</f>
        <v>0</v>
      </c>
      <c r="X55" s="27"/>
      <c r="Y55" s="27"/>
      <c r="Z55" s="27"/>
      <c r="AA55" s="27"/>
    </row>
    <row r="56" spans="14:27" ht="14.65" customHeight="1">
      <c r="N56" s="204">
        <f>Amorts!F58</f>
        <v>0</v>
      </c>
      <c r="O56" s="205">
        <f>Amorts!G58</f>
        <v>0</v>
      </c>
      <c r="P56" s="206" t="e">
        <f t="shared" si="0"/>
        <v>#DIV/0!</v>
      </c>
      <c r="V56" s="27" t="s">
        <v>157</v>
      </c>
      <c r="W56" s="229">
        <f>'Collecte des données'!P150</f>
        <v>0</v>
      </c>
      <c r="X56" s="27"/>
      <c r="Y56" s="27"/>
      <c r="Z56" s="27"/>
      <c r="AA56" s="27"/>
    </row>
    <row r="57" spans="14:27" ht="14.25">
      <c r="N57" s="204">
        <f>Amorts!F59</f>
        <v>0</v>
      </c>
      <c r="O57" s="205">
        <f>Amorts!G59</f>
        <v>0</v>
      </c>
      <c r="P57" s="206" t="e">
        <f t="shared" si="0"/>
        <v>#DIV/0!</v>
      </c>
      <c r="V57" s="27" t="s">
        <v>158</v>
      </c>
      <c r="W57" s="229">
        <f>'Collecte des données'!P153+'Collecte des données'!P156+'Collecte des données'!P159+'Collecte des données'!P162+'Collecte des données'!P165+'Collecte des données'!P168+'Collecte des données'!P171</f>
        <v>0</v>
      </c>
      <c r="X57" s="27"/>
      <c r="Y57" s="27"/>
      <c r="Z57" s="27"/>
      <c r="AA57" s="27"/>
    </row>
    <row r="58" spans="14:27" ht="15">
      <c r="N58" s="204">
        <f>Amorts!F60</f>
        <v>0</v>
      </c>
      <c r="O58" s="205">
        <f>Amorts!G60</f>
        <v>0</v>
      </c>
      <c r="P58" s="206" t="e">
        <f t="shared" si="0"/>
        <v>#DIV/0!</v>
      </c>
      <c r="V58" s="27" t="s">
        <v>159</v>
      </c>
      <c r="W58" s="230">
        <f>W55+W56+W57</f>
        <v>0</v>
      </c>
    </row>
    <row r="59" spans="14:27">
      <c r="N59" s="204">
        <f>Amorts!F61</f>
        <v>0</v>
      </c>
      <c r="O59" s="205">
        <f>Amorts!G61</f>
        <v>0</v>
      </c>
      <c r="P59" s="206" t="e">
        <f t="shared" si="0"/>
        <v>#DIV/0!</v>
      </c>
    </row>
    <row r="60" spans="14:27" ht="14.25">
      <c r="N60" s="204">
        <f>Amorts!F62</f>
        <v>0</v>
      </c>
      <c r="O60" s="205">
        <f>Amorts!G62</f>
        <v>0</v>
      </c>
      <c r="P60" s="206" t="e">
        <f t="shared" si="0"/>
        <v>#DIV/0!</v>
      </c>
      <c r="V60" s="27" t="s">
        <v>160</v>
      </c>
      <c r="W60" s="208">
        <f>'Collecte des données'!P280+'Collecte des données'!P282+'Collecte des données'!P284+'Collecte des données'!P286</f>
        <v>2500000</v>
      </c>
    </row>
    <row r="61" spans="14:27" ht="14.25">
      <c r="N61" s="204">
        <f>Amorts!F63</f>
        <v>0</v>
      </c>
      <c r="O61" s="205">
        <f>Amorts!G63</f>
        <v>0</v>
      </c>
      <c r="P61" s="206" t="e">
        <f t="shared" si="0"/>
        <v>#DIV/0!</v>
      </c>
      <c r="V61" s="27" t="s">
        <v>161</v>
      </c>
      <c r="W61" s="208">
        <f>'Collecte des données'!P245+'Collecte des données'!P248+'Collecte des données'!P251+'Collecte des données'!P254+'Collecte des données'!P257+'Collecte des données'!P260+'Collecte des données'!P263+'Collecte des données'!P266+'Collecte des données'!P269+'Collecte des données'!P272</f>
        <v>5500000</v>
      </c>
    </row>
    <row r="62" spans="14:27" ht="14.25">
      <c r="N62" s="204">
        <f>Amorts!F64</f>
        <v>0</v>
      </c>
      <c r="O62" s="205">
        <f>Amorts!G64</f>
        <v>0</v>
      </c>
      <c r="P62" s="206" t="e">
        <f t="shared" si="0"/>
        <v>#DIV/0!</v>
      </c>
      <c r="V62" s="27" t="s">
        <v>162</v>
      </c>
      <c r="W62" s="231">
        <f>IF('Collecte des données'!I274="OUI",CRG!W61,IF('Collecte des données'!J238="OUI",'Collecte des données'!P238,0))</f>
        <v>0</v>
      </c>
    </row>
    <row r="63" spans="14:27">
      <c r="N63" s="204">
        <f>Amorts!F65</f>
        <v>0</v>
      </c>
      <c r="O63" s="205">
        <f>Amorts!G65</f>
        <v>0</v>
      </c>
      <c r="P63" s="206" t="e">
        <f t="shared" si="0"/>
        <v>#DIV/0!</v>
      </c>
    </row>
    <row r="64" spans="14:27">
      <c r="N64" s="204">
        <f>Amorts!F66</f>
        <v>0</v>
      </c>
      <c r="O64" s="205">
        <f>Amorts!G66</f>
        <v>0</v>
      </c>
      <c r="P64" s="206" t="e">
        <f t="shared" si="0"/>
        <v>#DIV/0!</v>
      </c>
    </row>
    <row r="65" spans="14:25">
      <c r="N65" s="204">
        <f>Amorts!F67</f>
        <v>0</v>
      </c>
      <c r="O65" s="205">
        <f>Amorts!G67</f>
        <v>0</v>
      </c>
      <c r="P65" s="206" t="e">
        <f t="shared" si="0"/>
        <v>#DIV/0!</v>
      </c>
      <c r="V65" t="s">
        <v>163</v>
      </c>
      <c r="W65">
        <f>IF(Analyse!I40="","",(Analyse!I40*CRG!X65))</f>
        <v>288900000</v>
      </c>
      <c r="X65">
        <f>IF(Analyse!L76="",1,Analyse!L76)</f>
        <v>1</v>
      </c>
      <c r="Y65">
        <f>IF(Analyse!Q76="",W65,Analyse!Q76)</f>
        <v>288900000</v>
      </c>
    </row>
    <row r="66" spans="14:25">
      <c r="N66" s="204">
        <f>Amorts!F68</f>
        <v>0</v>
      </c>
      <c r="O66" s="205">
        <f>Amorts!G68</f>
        <v>0</v>
      </c>
      <c r="P66" s="206" t="e">
        <f t="shared" si="0"/>
        <v>#DIV/0!</v>
      </c>
      <c r="V66" t="s">
        <v>164</v>
      </c>
      <c r="W66" s="250">
        <f>W51</f>
        <v>21000000</v>
      </c>
      <c r="Y66">
        <f>IF(Analyse!Q77="",W66,Analyse!Q77)</f>
        <v>21000000</v>
      </c>
    </row>
    <row r="67" spans="14:25">
      <c r="N67" s="204">
        <f>Amorts!F69</f>
        <v>0</v>
      </c>
      <c r="O67" s="205">
        <f>Amorts!G69</f>
        <v>0</v>
      </c>
      <c r="P67" s="206" t="e">
        <f t="shared" si="0"/>
        <v>#DIV/0!</v>
      </c>
      <c r="V67" t="s">
        <v>165</v>
      </c>
      <c r="W67" s="250">
        <f>W47</f>
        <v>62510000</v>
      </c>
      <c r="Y67">
        <f>IF(Analyse!Q78="",W67,Analyse!Q78)</f>
        <v>62510000</v>
      </c>
    </row>
    <row r="68" spans="14:25">
      <c r="N68" s="204">
        <f>Amorts!F70</f>
        <v>0</v>
      </c>
      <c r="O68" s="205">
        <f>Amorts!G70</f>
        <v>0</v>
      </c>
      <c r="P68" s="206" t="e">
        <f t="shared" si="0"/>
        <v>#DIV/0!</v>
      </c>
      <c r="V68" t="s">
        <v>166</v>
      </c>
      <c r="W68" s="250">
        <f>W49</f>
        <v>6500000</v>
      </c>
      <c r="Y68">
        <f>IF(Analyse!Q79="",W68,Analyse!Q79)</f>
        <v>6500000</v>
      </c>
    </row>
    <row r="69" spans="14:25">
      <c r="N69" s="204">
        <f>Amorts!F71</f>
        <v>0</v>
      </c>
      <c r="O69" s="205">
        <f>Amorts!G71</f>
        <v>0</v>
      </c>
      <c r="P69" s="206" t="e">
        <f t="shared" ref="P69:P132" si="3">O69/N69</f>
        <v>#DIV/0!</v>
      </c>
      <c r="V69" t="s">
        <v>167</v>
      </c>
      <c r="W69" s="250">
        <f>W57</f>
        <v>0</v>
      </c>
      <c r="Y69">
        <f>IF(Analyse!Q80="",W69,Analyse!Q80)</f>
        <v>0</v>
      </c>
    </row>
    <row r="70" spans="14:25">
      <c r="N70" s="204">
        <f>Amorts!F72</f>
        <v>0</v>
      </c>
      <c r="O70" s="205">
        <f>Amorts!G72</f>
        <v>0</v>
      </c>
      <c r="P70" s="206" t="e">
        <f t="shared" si="3"/>
        <v>#DIV/0!</v>
      </c>
      <c r="V70" t="s">
        <v>168</v>
      </c>
      <c r="W70" s="208">
        <f>IF('Collecte des données'!P124="",0,'Collecte des données'!P124)</f>
        <v>0</v>
      </c>
      <c r="Y70">
        <f>IF(Analyse!Q81="",W70,Analyse!Q81)</f>
        <v>0</v>
      </c>
    </row>
    <row r="71" spans="14:25">
      <c r="N71" s="204">
        <f>Amorts!F73</f>
        <v>0</v>
      </c>
      <c r="O71" s="205">
        <f>Amorts!G73</f>
        <v>0</v>
      </c>
      <c r="P71" s="206" t="e">
        <f t="shared" si="3"/>
        <v>#DIV/0!</v>
      </c>
    </row>
    <row r="72" spans="14:25">
      <c r="N72" s="204">
        <f>Amorts!F74</f>
        <v>0</v>
      </c>
      <c r="O72" s="205">
        <f>Amorts!G74</f>
        <v>0</v>
      </c>
      <c r="P72" s="206" t="e">
        <f t="shared" si="3"/>
        <v>#DIV/0!</v>
      </c>
    </row>
    <row r="73" spans="14:25">
      <c r="N73" s="204">
        <f>Amorts!F75</f>
        <v>0</v>
      </c>
      <c r="O73" s="205">
        <f>Amorts!G75</f>
        <v>0</v>
      </c>
      <c r="P73" s="206" t="e">
        <f t="shared" si="3"/>
        <v>#DIV/0!</v>
      </c>
    </row>
    <row r="74" spans="14:25">
      <c r="N74" s="204">
        <f>Amorts!F76</f>
        <v>0</v>
      </c>
      <c r="O74" s="205">
        <f>Amorts!G76</f>
        <v>0</v>
      </c>
      <c r="P74" s="206" t="e">
        <f t="shared" si="3"/>
        <v>#DIV/0!</v>
      </c>
      <c r="V74" t="s">
        <v>169</v>
      </c>
      <c r="W74" s="250" t="e">
        <f>W81-W80</f>
        <v>#VALUE!</v>
      </c>
    </row>
    <row r="75" spans="14:25">
      <c r="N75" s="204">
        <f>Amorts!F77</f>
        <v>0</v>
      </c>
      <c r="O75" s="205">
        <f>Amorts!G77</f>
        <v>0</v>
      </c>
      <c r="P75" s="206" t="e">
        <f t="shared" si="3"/>
        <v>#DIV/0!</v>
      </c>
      <c r="V75" t="e">
        <f>CONCATENATE(V74," ",W74," GNF")</f>
        <v>#VALUE!</v>
      </c>
    </row>
    <row r="76" spans="14:25">
      <c r="N76" s="204">
        <f>Amorts!F78</f>
        <v>0</v>
      </c>
      <c r="O76" s="205">
        <f>Amorts!G78</f>
        <v>0</v>
      </c>
      <c r="P76" s="206" t="e">
        <f t="shared" si="3"/>
        <v>#DIV/0!</v>
      </c>
    </row>
    <row r="77" spans="14:25">
      <c r="N77" s="204">
        <f>Amorts!F79</f>
        <v>0</v>
      </c>
      <c r="O77" s="205">
        <f>Amorts!G79</f>
        <v>0</v>
      </c>
      <c r="P77" s="206" t="e">
        <f t="shared" si="3"/>
        <v>#DIV/0!</v>
      </c>
    </row>
    <row r="78" spans="14:25">
      <c r="N78" s="204">
        <f>Amorts!F80</f>
        <v>0</v>
      </c>
      <c r="O78" s="205">
        <f>Amorts!G80</f>
        <v>0</v>
      </c>
      <c r="P78" s="206" t="e">
        <f t="shared" si="3"/>
        <v>#DIV/0!</v>
      </c>
      <c r="V78" t="s">
        <v>170</v>
      </c>
      <c r="W78" s="208" t="str">
        <f>IF(Analyse!M73&gt;0,Analyse!M73,0)</f>
        <v/>
      </c>
    </row>
    <row r="79" spans="14:25">
      <c r="N79" s="204">
        <f>Amorts!F81</f>
        <v>0</v>
      </c>
      <c r="O79" s="205">
        <f>Amorts!G81</f>
        <v>0</v>
      </c>
      <c r="P79" s="206" t="e">
        <f t="shared" si="3"/>
        <v>#DIV/0!</v>
      </c>
      <c r="V79" t="s">
        <v>171</v>
      </c>
      <c r="W79" s="251">
        <f>IF(Analyse!M82&gt;0,Analyse!M82,0)</f>
        <v>198890000</v>
      </c>
    </row>
    <row r="80" spans="14:25">
      <c r="N80" s="204">
        <f>Amorts!F82</f>
        <v>0</v>
      </c>
      <c r="O80" s="205">
        <f>Amorts!G82</f>
        <v>0</v>
      </c>
      <c r="P80" s="206" t="e">
        <f t="shared" si="3"/>
        <v>#DIV/0!</v>
      </c>
      <c r="V80" t="s">
        <v>172</v>
      </c>
      <c r="W80" s="252" t="e">
        <f>W78+W79</f>
        <v>#VALUE!</v>
      </c>
    </row>
    <row r="81" spans="14:25">
      <c r="N81" s="204">
        <f>Amorts!F83</f>
        <v>0</v>
      </c>
      <c r="O81" s="205">
        <f>Amorts!G83</f>
        <v>0</v>
      </c>
      <c r="P81" s="206" t="e">
        <f t="shared" si="3"/>
        <v>#DIV/0!</v>
      </c>
      <c r="V81" t="s">
        <v>111</v>
      </c>
      <c r="W81" s="208">
        <f>'Collecte des données'!I18</f>
        <v>60000000</v>
      </c>
    </row>
    <row r="82" spans="14:25">
      <c r="N82" s="204">
        <f>Amorts!F84</f>
        <v>0</v>
      </c>
      <c r="O82" s="205">
        <f>Amorts!G84</f>
        <v>0</v>
      </c>
      <c r="P82" s="206" t="e">
        <f t="shared" si="3"/>
        <v>#DIV/0!</v>
      </c>
      <c r="W82" s="236" t="e">
        <f>IF(W81&gt;W80,V75,"")</f>
        <v>#VALUE!</v>
      </c>
    </row>
    <row r="83" spans="14:25">
      <c r="N83" s="204">
        <f>Amorts!F85</f>
        <v>0</v>
      </c>
      <c r="O83" s="205">
        <f>Amorts!G85</f>
        <v>0</v>
      </c>
      <c r="P83" s="206" t="e">
        <f t="shared" si="3"/>
        <v>#DIV/0!</v>
      </c>
    </row>
    <row r="84" spans="14:25">
      <c r="N84" s="204">
        <f>Amorts!F86</f>
        <v>0</v>
      </c>
      <c r="O84" s="205">
        <f>Amorts!G86</f>
        <v>0</v>
      </c>
      <c r="P84" s="206" t="e">
        <f t="shared" si="3"/>
        <v>#DIV/0!</v>
      </c>
      <c r="V84" t="s">
        <v>173</v>
      </c>
      <c r="W84" s="208">
        <f>'Collecte des données'!I25</f>
        <v>6700000</v>
      </c>
      <c r="Y84" s="250">
        <f>(W84/AC11)*AC9</f>
        <v>6700000</v>
      </c>
    </row>
    <row r="85" spans="14:25">
      <c r="N85" s="204">
        <f>Amorts!F87</f>
        <v>0</v>
      </c>
      <c r="O85" s="205">
        <f>Amorts!G87</f>
        <v>0</v>
      </c>
      <c r="P85" s="206" t="e">
        <f t="shared" si="3"/>
        <v>#DIV/0!</v>
      </c>
      <c r="V85" t="s">
        <v>174</v>
      </c>
      <c r="W85" s="208">
        <f>Analyse!I59</f>
        <v>140385000</v>
      </c>
    </row>
    <row r="86" spans="14:25">
      <c r="N86" s="204">
        <f>Amorts!F88</f>
        <v>0</v>
      </c>
      <c r="O86" s="205">
        <f>Amorts!G88</f>
        <v>0</v>
      </c>
      <c r="P86" s="206" t="e">
        <f t="shared" si="3"/>
        <v>#DIV/0!</v>
      </c>
      <c r="V86" t="s">
        <v>175</v>
      </c>
      <c r="W86" s="208">
        <f>Analyse!I63</f>
        <v>142885000</v>
      </c>
    </row>
    <row r="87" spans="14:25">
      <c r="N87" s="204">
        <f>Amorts!F89</f>
        <v>0</v>
      </c>
      <c r="O87" s="205">
        <f>Amorts!G89</f>
        <v>0</v>
      </c>
      <c r="P87" s="206" t="e">
        <f t="shared" si="3"/>
        <v>#DIV/0!</v>
      </c>
      <c r="V87" t="s">
        <v>176</v>
      </c>
    </row>
    <row r="88" spans="14:25">
      <c r="N88" s="204">
        <f>Amorts!F90</f>
        <v>0</v>
      </c>
      <c r="O88" s="205">
        <f>Amorts!G90</f>
        <v>0</v>
      </c>
      <c r="P88" s="206" t="e">
        <f t="shared" si="3"/>
        <v>#DIV/0!</v>
      </c>
      <c r="V88" t="s">
        <v>177</v>
      </c>
    </row>
    <row r="89" spans="14:25">
      <c r="N89" s="204">
        <f>Amorts!F91</f>
        <v>0</v>
      </c>
      <c r="O89" s="205">
        <f>Amorts!G91</f>
        <v>0</v>
      </c>
      <c r="P89" s="206" t="e">
        <f t="shared" si="3"/>
        <v>#DIV/0!</v>
      </c>
      <c r="V89" t="str">
        <f>IF(Y84&lt;W86,V87,V88)</f>
        <v>La capacité de remboursement déclarée par le membre semble réaliste. Privilégiez cette CDR pour le calcul des ratios.</v>
      </c>
    </row>
    <row r="90" spans="14:25">
      <c r="N90" s="204">
        <f>Amorts!F92</f>
        <v>0</v>
      </c>
      <c r="O90" s="205">
        <f>Amorts!G92</f>
        <v>0</v>
      </c>
      <c r="P90" s="206" t="e">
        <f t="shared" si="3"/>
        <v>#DIV/0!</v>
      </c>
    </row>
    <row r="91" spans="14:25">
      <c r="N91" s="204">
        <f>Amorts!F93</f>
        <v>0</v>
      </c>
      <c r="O91" s="205">
        <f>Amorts!G93</f>
        <v>0</v>
      </c>
      <c r="P91" s="206" t="e">
        <f t="shared" si="3"/>
        <v>#DIV/0!</v>
      </c>
    </row>
    <row r="92" spans="14:25">
      <c r="N92" s="204">
        <f>Amorts!F94</f>
        <v>0</v>
      </c>
      <c r="O92" s="205">
        <f>Amorts!G94</f>
        <v>0</v>
      </c>
      <c r="P92" s="206" t="e">
        <f t="shared" si="3"/>
        <v>#DIV/0!</v>
      </c>
    </row>
    <row r="93" spans="14:25">
      <c r="N93" s="204">
        <f>Amorts!F95</f>
        <v>0</v>
      </c>
      <c r="O93" s="205">
        <f>Amorts!G95</f>
        <v>0</v>
      </c>
      <c r="P93" s="206" t="e">
        <f t="shared" si="3"/>
        <v>#DIV/0!</v>
      </c>
    </row>
    <row r="94" spans="14:25">
      <c r="N94" s="204">
        <f>Amorts!F96</f>
        <v>0</v>
      </c>
      <c r="O94" s="205">
        <f>Amorts!G96</f>
        <v>0</v>
      </c>
      <c r="P94" s="206" t="e">
        <f t="shared" si="3"/>
        <v>#DIV/0!</v>
      </c>
    </row>
    <row r="95" spans="14:25">
      <c r="N95" s="204">
        <f>Amorts!F97</f>
        <v>0</v>
      </c>
      <c r="O95" s="205">
        <f>Amorts!G97</f>
        <v>0</v>
      </c>
      <c r="P95" s="206" t="e">
        <f t="shared" si="3"/>
        <v>#DIV/0!</v>
      </c>
    </row>
    <row r="96" spans="14:25">
      <c r="N96" s="204">
        <f>Amorts!F98</f>
        <v>0</v>
      </c>
      <c r="O96" s="205">
        <f>Amorts!G98</f>
        <v>0</v>
      </c>
      <c r="P96" s="206" t="e">
        <f t="shared" si="3"/>
        <v>#DIV/0!</v>
      </c>
    </row>
    <row r="97" spans="14:16">
      <c r="N97" s="204">
        <f>Amorts!F99</f>
        <v>0</v>
      </c>
      <c r="O97" s="205">
        <f>Amorts!G99</f>
        <v>0</v>
      </c>
      <c r="P97" s="206" t="e">
        <f t="shared" si="3"/>
        <v>#DIV/0!</v>
      </c>
    </row>
    <row r="98" spans="14:16">
      <c r="N98" s="204">
        <f>Amorts!F100</f>
        <v>0</v>
      </c>
      <c r="O98" s="205">
        <f>Amorts!G100</f>
        <v>0</v>
      </c>
      <c r="P98" s="206" t="e">
        <f t="shared" si="3"/>
        <v>#DIV/0!</v>
      </c>
    </row>
    <row r="99" spans="14:16">
      <c r="N99" s="204">
        <f>Amorts!F101</f>
        <v>0</v>
      </c>
      <c r="O99" s="205">
        <f>Amorts!G101</f>
        <v>0</v>
      </c>
      <c r="P99" s="206" t="e">
        <f t="shared" si="3"/>
        <v>#DIV/0!</v>
      </c>
    </row>
    <row r="100" spans="14:16">
      <c r="N100" s="204">
        <f>Amorts!F102</f>
        <v>0</v>
      </c>
      <c r="O100" s="205">
        <f>Amorts!G102</f>
        <v>0</v>
      </c>
      <c r="P100" s="206" t="e">
        <f t="shared" si="3"/>
        <v>#DIV/0!</v>
      </c>
    </row>
    <row r="101" spans="14:16">
      <c r="N101" s="204">
        <f>Amorts!F103</f>
        <v>0</v>
      </c>
      <c r="O101" s="205">
        <f>Amorts!G103</f>
        <v>0</v>
      </c>
      <c r="P101" s="206" t="e">
        <f t="shared" si="3"/>
        <v>#DIV/0!</v>
      </c>
    </row>
    <row r="102" spans="14:16">
      <c r="N102" s="204">
        <f>Amorts!F104</f>
        <v>0</v>
      </c>
      <c r="O102" s="205">
        <f>Amorts!G104</f>
        <v>0</v>
      </c>
      <c r="P102" s="206" t="e">
        <f t="shared" si="3"/>
        <v>#DIV/0!</v>
      </c>
    </row>
    <row r="103" spans="14:16">
      <c r="N103" s="204">
        <f>Amorts!F105</f>
        <v>0</v>
      </c>
      <c r="O103" s="205">
        <f>Amorts!G105</f>
        <v>0</v>
      </c>
      <c r="P103" s="206" t="e">
        <f t="shared" si="3"/>
        <v>#DIV/0!</v>
      </c>
    </row>
    <row r="104" spans="14:16">
      <c r="N104" s="204">
        <f>Amorts!F106</f>
        <v>0</v>
      </c>
      <c r="O104" s="205">
        <f>Amorts!G106</f>
        <v>0</v>
      </c>
      <c r="P104" s="206" t="e">
        <f t="shared" si="3"/>
        <v>#DIV/0!</v>
      </c>
    </row>
    <row r="105" spans="14:16">
      <c r="N105" s="204">
        <f>Amorts!F107</f>
        <v>0</v>
      </c>
      <c r="O105" s="205">
        <f>Amorts!G107</f>
        <v>0</v>
      </c>
      <c r="P105" s="206" t="e">
        <f t="shared" si="3"/>
        <v>#DIV/0!</v>
      </c>
    </row>
    <row r="106" spans="14:16">
      <c r="N106" s="204">
        <f>Amorts!F108</f>
        <v>0</v>
      </c>
      <c r="O106" s="205">
        <f>Amorts!G108</f>
        <v>0</v>
      </c>
      <c r="P106" s="206" t="e">
        <f t="shared" si="3"/>
        <v>#DIV/0!</v>
      </c>
    </row>
    <row r="107" spans="14:16">
      <c r="N107" s="204">
        <f>Amorts!F109</f>
        <v>0</v>
      </c>
      <c r="O107" s="205">
        <f>Amorts!G109</f>
        <v>0</v>
      </c>
      <c r="P107" s="206" t="e">
        <f t="shared" si="3"/>
        <v>#DIV/0!</v>
      </c>
    </row>
    <row r="108" spans="14:16">
      <c r="N108" s="204">
        <f>Amorts!F110</f>
        <v>0</v>
      </c>
      <c r="O108" s="205">
        <f>Amorts!G110</f>
        <v>0</v>
      </c>
      <c r="P108" s="206" t="e">
        <f t="shared" si="3"/>
        <v>#DIV/0!</v>
      </c>
    </row>
    <row r="109" spans="14:16">
      <c r="N109" s="204">
        <f>Amorts!F111</f>
        <v>0</v>
      </c>
      <c r="O109" s="205">
        <f>Amorts!G111</f>
        <v>0</v>
      </c>
      <c r="P109" s="206" t="e">
        <f t="shared" si="3"/>
        <v>#DIV/0!</v>
      </c>
    </row>
    <row r="110" spans="14:16">
      <c r="N110" s="204">
        <f>Amorts!F112</f>
        <v>0</v>
      </c>
      <c r="O110" s="205">
        <f>Amorts!G112</f>
        <v>0</v>
      </c>
      <c r="P110" s="206" t="e">
        <f t="shared" si="3"/>
        <v>#DIV/0!</v>
      </c>
    </row>
    <row r="111" spans="14:16">
      <c r="N111" s="204">
        <f>Amorts!F113</f>
        <v>0</v>
      </c>
      <c r="O111" s="205">
        <f>Amorts!G113</f>
        <v>0</v>
      </c>
      <c r="P111" s="206" t="e">
        <f t="shared" si="3"/>
        <v>#DIV/0!</v>
      </c>
    </row>
    <row r="112" spans="14:16">
      <c r="N112" s="204">
        <f>Amorts!F114</f>
        <v>0</v>
      </c>
      <c r="O112" s="205">
        <f>Amorts!G114</f>
        <v>0</v>
      </c>
      <c r="P112" s="206" t="e">
        <f t="shared" si="3"/>
        <v>#DIV/0!</v>
      </c>
    </row>
    <row r="113" spans="14:16">
      <c r="N113" s="204">
        <f>Amorts!F115</f>
        <v>0</v>
      </c>
      <c r="O113" s="205">
        <f>Amorts!G115</f>
        <v>0</v>
      </c>
      <c r="P113" s="206" t="e">
        <f t="shared" si="3"/>
        <v>#DIV/0!</v>
      </c>
    </row>
    <row r="114" spans="14:16">
      <c r="N114" s="204">
        <f>Amorts!F116</f>
        <v>0</v>
      </c>
      <c r="O114" s="205">
        <f>Amorts!G116</f>
        <v>0</v>
      </c>
      <c r="P114" s="206" t="e">
        <f t="shared" si="3"/>
        <v>#DIV/0!</v>
      </c>
    </row>
    <row r="115" spans="14:16">
      <c r="N115" s="204">
        <f>Amorts!F117</f>
        <v>0</v>
      </c>
      <c r="O115" s="205">
        <f>Amorts!G117</f>
        <v>0</v>
      </c>
      <c r="P115" s="206" t="e">
        <f t="shared" si="3"/>
        <v>#DIV/0!</v>
      </c>
    </row>
    <row r="116" spans="14:16">
      <c r="N116" s="204">
        <f>Amorts!F118</f>
        <v>0</v>
      </c>
      <c r="O116" s="205">
        <f>Amorts!G118</f>
        <v>0</v>
      </c>
      <c r="P116" s="206" t="e">
        <f t="shared" si="3"/>
        <v>#DIV/0!</v>
      </c>
    </row>
    <row r="117" spans="14:16">
      <c r="N117" s="204">
        <f>Amorts!F119</f>
        <v>0</v>
      </c>
      <c r="O117" s="205">
        <f>Amorts!G119</f>
        <v>0</v>
      </c>
      <c r="P117" s="206" t="e">
        <f t="shared" si="3"/>
        <v>#DIV/0!</v>
      </c>
    </row>
    <row r="118" spans="14:16">
      <c r="N118" s="204">
        <f>Amorts!F120</f>
        <v>0</v>
      </c>
      <c r="O118" s="205">
        <f>Amorts!G120</f>
        <v>0</v>
      </c>
      <c r="P118" s="206" t="e">
        <f t="shared" si="3"/>
        <v>#DIV/0!</v>
      </c>
    </row>
    <row r="119" spans="14:16">
      <c r="N119" s="204">
        <f>Amorts!F121</f>
        <v>0</v>
      </c>
      <c r="O119" s="205">
        <f>Amorts!G121</f>
        <v>0</v>
      </c>
      <c r="P119" s="206" t="e">
        <f t="shared" si="3"/>
        <v>#DIV/0!</v>
      </c>
    </row>
    <row r="120" spans="14:16">
      <c r="N120" s="204">
        <f>Amorts!F122</f>
        <v>0</v>
      </c>
      <c r="O120" s="205">
        <f>Amorts!G122</f>
        <v>0</v>
      </c>
      <c r="P120" s="206" t="e">
        <f t="shared" si="3"/>
        <v>#DIV/0!</v>
      </c>
    </row>
    <row r="121" spans="14:16">
      <c r="N121" s="204">
        <f>Amorts!F123</f>
        <v>0</v>
      </c>
      <c r="O121" s="205">
        <f>Amorts!G123</f>
        <v>0</v>
      </c>
      <c r="P121" s="206" t="e">
        <f t="shared" si="3"/>
        <v>#DIV/0!</v>
      </c>
    </row>
    <row r="122" spans="14:16">
      <c r="N122" s="204">
        <f>Amorts!F124</f>
        <v>0</v>
      </c>
      <c r="O122" s="205">
        <f>Amorts!G124</f>
        <v>0</v>
      </c>
      <c r="P122" s="206" t="e">
        <f t="shared" si="3"/>
        <v>#DIV/0!</v>
      </c>
    </row>
    <row r="123" spans="14:16">
      <c r="N123" s="204">
        <f>Amorts!F125</f>
        <v>0</v>
      </c>
      <c r="O123" s="205">
        <f>Amorts!G125</f>
        <v>0</v>
      </c>
      <c r="P123" s="206" t="e">
        <f t="shared" si="3"/>
        <v>#DIV/0!</v>
      </c>
    </row>
    <row r="124" spans="14:16">
      <c r="N124" s="204">
        <f>Amorts!F126</f>
        <v>0</v>
      </c>
      <c r="O124" s="205">
        <f>Amorts!G126</f>
        <v>0</v>
      </c>
      <c r="P124" s="206" t="e">
        <f t="shared" si="3"/>
        <v>#DIV/0!</v>
      </c>
    </row>
    <row r="125" spans="14:16">
      <c r="N125" s="204">
        <f>Amorts!F127</f>
        <v>0</v>
      </c>
      <c r="O125" s="205">
        <f>Amorts!G127</f>
        <v>0</v>
      </c>
      <c r="P125" s="206" t="e">
        <f t="shared" si="3"/>
        <v>#DIV/0!</v>
      </c>
    </row>
    <row r="126" spans="14:16">
      <c r="N126" s="204">
        <f>Amorts!F128</f>
        <v>0</v>
      </c>
      <c r="O126" s="205">
        <f>Amorts!G128</f>
        <v>0</v>
      </c>
      <c r="P126" s="206" t="e">
        <f t="shared" si="3"/>
        <v>#DIV/0!</v>
      </c>
    </row>
    <row r="127" spans="14:16">
      <c r="N127" s="204">
        <f>Amorts!F129</f>
        <v>0</v>
      </c>
      <c r="O127" s="205">
        <f>Amorts!G129</f>
        <v>0</v>
      </c>
      <c r="P127" s="206" t="e">
        <f t="shared" si="3"/>
        <v>#DIV/0!</v>
      </c>
    </row>
    <row r="128" spans="14:16">
      <c r="N128" s="204">
        <f>Amorts!F130</f>
        <v>0</v>
      </c>
      <c r="O128" s="205">
        <f>Amorts!G130</f>
        <v>0</v>
      </c>
      <c r="P128" s="206" t="e">
        <f t="shared" si="3"/>
        <v>#DIV/0!</v>
      </c>
    </row>
    <row r="129" spans="14:16">
      <c r="N129" s="204">
        <f>Amorts!F131</f>
        <v>0</v>
      </c>
      <c r="O129" s="205">
        <f>Amorts!G131</f>
        <v>0</v>
      </c>
      <c r="P129" s="206" t="e">
        <f t="shared" si="3"/>
        <v>#DIV/0!</v>
      </c>
    </row>
    <row r="130" spans="14:16">
      <c r="N130" s="204">
        <f>Amorts!F132</f>
        <v>0</v>
      </c>
      <c r="O130" s="205">
        <f>Amorts!G132</f>
        <v>0</v>
      </c>
      <c r="P130" s="206" t="e">
        <f t="shared" si="3"/>
        <v>#DIV/0!</v>
      </c>
    </row>
    <row r="131" spans="14:16">
      <c r="N131" s="204">
        <f>Amorts!F133</f>
        <v>0</v>
      </c>
      <c r="O131" s="205">
        <f>Amorts!G133</f>
        <v>0</v>
      </c>
      <c r="P131" s="206" t="e">
        <f t="shared" si="3"/>
        <v>#DIV/0!</v>
      </c>
    </row>
    <row r="132" spans="14:16">
      <c r="N132" s="204">
        <f>Amorts!F134</f>
        <v>0</v>
      </c>
      <c r="O132" s="205">
        <f>Amorts!G134</f>
        <v>0</v>
      </c>
      <c r="P132" s="206" t="e">
        <f t="shared" si="3"/>
        <v>#DIV/0!</v>
      </c>
    </row>
    <row r="133" spans="14:16">
      <c r="N133" s="204">
        <f>Amorts!F135</f>
        <v>0</v>
      </c>
      <c r="O133" s="205">
        <f>Amorts!G135</f>
        <v>0</v>
      </c>
      <c r="P133" s="206" t="e">
        <f t="shared" ref="P133:P150" si="4">O133/N133</f>
        <v>#DIV/0!</v>
      </c>
    </row>
    <row r="134" spans="14:16">
      <c r="N134" s="204">
        <f>Amorts!F136</f>
        <v>0</v>
      </c>
      <c r="O134" s="205">
        <f>Amorts!G136</f>
        <v>0</v>
      </c>
      <c r="P134" s="206" t="e">
        <f t="shared" si="4"/>
        <v>#DIV/0!</v>
      </c>
    </row>
    <row r="135" spans="14:16">
      <c r="N135" s="204">
        <f>Amorts!F137</f>
        <v>0</v>
      </c>
      <c r="O135" s="205">
        <f>Amorts!G137</f>
        <v>0</v>
      </c>
      <c r="P135" s="206" t="e">
        <f t="shared" si="4"/>
        <v>#DIV/0!</v>
      </c>
    </row>
    <row r="136" spans="14:16">
      <c r="N136" s="204">
        <f>Amorts!F138</f>
        <v>0</v>
      </c>
      <c r="O136" s="205">
        <f>Amorts!G138</f>
        <v>0</v>
      </c>
      <c r="P136" s="206" t="e">
        <f t="shared" si="4"/>
        <v>#DIV/0!</v>
      </c>
    </row>
    <row r="137" spans="14:16">
      <c r="N137" s="204">
        <f>Amorts!F139</f>
        <v>0</v>
      </c>
      <c r="O137" s="205">
        <f>Amorts!G139</f>
        <v>0</v>
      </c>
      <c r="P137" s="206" t="e">
        <f t="shared" si="4"/>
        <v>#DIV/0!</v>
      </c>
    </row>
    <row r="138" spans="14:16">
      <c r="N138" s="204">
        <f>Amorts!F140</f>
        <v>0</v>
      </c>
      <c r="O138" s="205">
        <f>Amorts!G140</f>
        <v>0</v>
      </c>
      <c r="P138" s="206" t="e">
        <f t="shared" si="4"/>
        <v>#DIV/0!</v>
      </c>
    </row>
    <row r="139" spans="14:16">
      <c r="N139" s="204">
        <f>Amorts!F141</f>
        <v>0</v>
      </c>
      <c r="O139" s="205">
        <f>Amorts!G141</f>
        <v>0</v>
      </c>
      <c r="P139" s="206" t="e">
        <f t="shared" si="4"/>
        <v>#DIV/0!</v>
      </c>
    </row>
    <row r="140" spans="14:16">
      <c r="N140" s="204">
        <f>Amorts!F142</f>
        <v>0</v>
      </c>
      <c r="O140" s="205">
        <f>Amorts!G142</f>
        <v>0</v>
      </c>
      <c r="P140" s="206" t="e">
        <f t="shared" si="4"/>
        <v>#DIV/0!</v>
      </c>
    </row>
    <row r="141" spans="14:16">
      <c r="N141" s="204">
        <f>Amorts!F143</f>
        <v>0</v>
      </c>
      <c r="O141" s="205">
        <f>Amorts!G143</f>
        <v>0</v>
      </c>
      <c r="P141" s="206" t="e">
        <f t="shared" si="4"/>
        <v>#DIV/0!</v>
      </c>
    </row>
    <row r="142" spans="14:16">
      <c r="N142" s="204">
        <f>Amorts!F144</f>
        <v>0</v>
      </c>
      <c r="O142" s="205">
        <f>Amorts!G144</f>
        <v>0</v>
      </c>
      <c r="P142" s="206" t="e">
        <f t="shared" si="4"/>
        <v>#DIV/0!</v>
      </c>
    </row>
    <row r="143" spans="14:16">
      <c r="N143" s="204">
        <f>Amorts!F145</f>
        <v>0</v>
      </c>
      <c r="O143" s="205">
        <f>Amorts!G145</f>
        <v>0</v>
      </c>
      <c r="P143" s="206" t="e">
        <f t="shared" si="4"/>
        <v>#DIV/0!</v>
      </c>
    </row>
    <row r="144" spans="14:16">
      <c r="N144" s="204">
        <f>Amorts!F146</f>
        <v>0</v>
      </c>
      <c r="O144" s="205">
        <f>Amorts!G146</f>
        <v>0</v>
      </c>
      <c r="P144" s="206" t="e">
        <f t="shared" si="4"/>
        <v>#DIV/0!</v>
      </c>
    </row>
    <row r="145" spans="14:16">
      <c r="N145" s="204">
        <f>Amorts!F147</f>
        <v>0</v>
      </c>
      <c r="O145" s="205">
        <f>Amorts!G147</f>
        <v>0</v>
      </c>
      <c r="P145" s="206" t="e">
        <f t="shared" si="4"/>
        <v>#DIV/0!</v>
      </c>
    </row>
    <row r="146" spans="14:16">
      <c r="N146" s="204">
        <f>Amorts!F148</f>
        <v>0</v>
      </c>
      <c r="O146" s="205">
        <f>Amorts!G148</f>
        <v>0</v>
      </c>
      <c r="P146" s="206" t="e">
        <f t="shared" si="4"/>
        <v>#DIV/0!</v>
      </c>
    </row>
    <row r="147" spans="14:16">
      <c r="N147" s="204">
        <f>Amorts!F149</f>
        <v>0</v>
      </c>
      <c r="O147" s="205">
        <f>Amorts!G149</f>
        <v>0</v>
      </c>
      <c r="P147" s="206" t="e">
        <f t="shared" si="4"/>
        <v>#DIV/0!</v>
      </c>
    </row>
    <row r="148" spans="14:16">
      <c r="N148" s="204">
        <f>Amorts!F150</f>
        <v>0</v>
      </c>
      <c r="O148" s="205">
        <f>Amorts!G150</f>
        <v>0</v>
      </c>
      <c r="P148" s="206" t="e">
        <f t="shared" si="4"/>
        <v>#DIV/0!</v>
      </c>
    </row>
    <row r="149" spans="14:16">
      <c r="N149" s="204">
        <f>Amorts!F151</f>
        <v>0</v>
      </c>
      <c r="O149" s="205">
        <f>Amorts!G151</f>
        <v>0</v>
      </c>
      <c r="P149" s="206" t="e">
        <f t="shared" si="4"/>
        <v>#DIV/0!</v>
      </c>
    </row>
    <row r="150" spans="14:16">
      <c r="N150" s="204">
        <f>Amorts!F152</f>
        <v>0</v>
      </c>
      <c r="O150" s="205">
        <f>Amorts!G152</f>
        <v>0</v>
      </c>
      <c r="P150" s="206" t="e">
        <f t="shared" si="4"/>
        <v>#DIV/0!</v>
      </c>
    </row>
  </sheetData>
  <sheetProtection algorithmName="SHA-512" hashValue="dtTEA5fENCqgdAeoYbSTQWhgC+ihwsyMC/A/OBZHazfRw85GkcMIqDkbldZV+jAzWqGQtRYyuFI7Vdu6nEx6UA==" saltValue="SehxPW2CFHPIIacDDuMOFQ==" spinCount="100000" sheet="1" objects="1" scenarios="1" selectLockedCells="1" selectUnlockedCells="1"/>
  <mergeCells count="2">
    <mergeCell ref="BM21:BR21"/>
    <mergeCell ref="BK4:BT6"/>
  </mergeCells>
  <dataValidations count="1">
    <dataValidation type="whole" allowBlank="1" showInputMessage="1" showErrorMessage="1" sqref="N2:N150">
      <formula1>1</formula1>
      <formula2>120</formula2>
    </dataValidation>
  </dataValidations>
  <pageMargins left="0.7" right="0.7" top="0.75" bottom="0.75" header="0.3" footer="0.3"/>
  <pageSetup paperSize="9" orientation="landscape" r:id="rId1"/>
  <ignoredErrors>
    <ignoredError sqref="AB22" formula="1"/>
    <ignoredError sqref="X9" formulaRange="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B1:AV66"/>
  <sheetViews>
    <sheetView showGridLines="0" showRowColHeaders="0" topLeftCell="A30" workbookViewId="0">
      <selection activeCell="AG57" sqref="AG57:AL57"/>
    </sheetView>
  </sheetViews>
  <sheetFormatPr baseColWidth="10" defaultColWidth="11.5" defaultRowHeight="13.5"/>
  <cols>
    <col min="1" max="1" width="11.5" style="2"/>
    <col min="2" max="2" width="2.5" style="2" customWidth="1"/>
    <col min="3" max="3" width="3.625" style="2" customWidth="1"/>
    <col min="4" max="4" width="3.5" style="2" customWidth="1"/>
    <col min="5" max="5" width="6.75" style="2" customWidth="1"/>
    <col min="6" max="6" width="4.125" style="2" customWidth="1"/>
    <col min="7" max="7" width="3.5" style="2" customWidth="1"/>
    <col min="8" max="8" width="4" style="2" customWidth="1"/>
    <col min="9" max="9" width="4.125" style="2" customWidth="1"/>
    <col min="10" max="10" width="6.625" style="2" customWidth="1"/>
    <col min="11" max="12" width="3.625" style="2" customWidth="1"/>
    <col min="13" max="13" width="4.25" style="2" customWidth="1"/>
    <col min="14" max="14" width="3.5" style="2" customWidth="1"/>
    <col min="15" max="15" width="4.5" style="2" customWidth="1"/>
    <col min="16" max="17" width="3.5" style="2" customWidth="1"/>
    <col min="18" max="18" width="3.375" style="2" customWidth="1"/>
    <col min="19" max="19" width="3.625" style="2" customWidth="1"/>
    <col min="20" max="20" width="3.75" style="2" customWidth="1"/>
    <col min="21" max="21" width="2.5" style="2" customWidth="1"/>
    <col min="22" max="22" width="4.75" style="2" customWidth="1"/>
    <col min="23" max="23" width="3.375" style="2" customWidth="1"/>
    <col min="24" max="24" width="3.75" style="2" customWidth="1"/>
    <col min="25" max="25" width="4.25" style="2" customWidth="1"/>
    <col min="26" max="26" width="5.25" style="2" customWidth="1"/>
    <col min="27" max="27" width="3.25" style="2" customWidth="1"/>
    <col min="28" max="28" width="3.625" style="2" customWidth="1"/>
    <col min="29" max="29" width="4.5" style="2" customWidth="1"/>
    <col min="30" max="30" width="3.25" style="2" customWidth="1"/>
    <col min="31" max="31" width="3.5" style="2" customWidth="1"/>
    <col min="32" max="32" width="3.875" style="2" customWidth="1"/>
    <col min="33" max="33" width="3.5" style="2" customWidth="1"/>
    <col min="34" max="34" width="4.5" style="2" customWidth="1"/>
    <col min="35" max="35" width="3.5" style="2" customWidth="1"/>
    <col min="36" max="36" width="3.75" style="2" customWidth="1"/>
    <col min="37" max="37" width="3.5" style="2" customWidth="1"/>
    <col min="38" max="38" width="3.875" style="2" customWidth="1"/>
    <col min="39" max="39" width="3.625" style="2" customWidth="1"/>
    <col min="40" max="40" width="3.75" style="2" customWidth="1"/>
    <col min="41" max="41" width="4" style="2" customWidth="1"/>
    <col min="42" max="42" width="4.125" style="2" customWidth="1"/>
    <col min="43" max="43" width="3.375" style="2" customWidth="1"/>
    <col min="44" max="44" width="3.75" style="2" customWidth="1"/>
    <col min="45" max="45" width="3.5" style="2" customWidth="1"/>
    <col min="46" max="46" width="4" style="2" customWidth="1"/>
    <col min="47" max="47" width="3.75" style="2" customWidth="1"/>
    <col min="48" max="48" width="4.25" style="2" customWidth="1"/>
    <col min="49" max="50" width="3.875" style="2" customWidth="1"/>
    <col min="51" max="51" width="4" style="2" customWidth="1"/>
    <col min="52" max="52" width="3.5" style="2" customWidth="1"/>
    <col min="53" max="53" width="3.75" style="2" customWidth="1"/>
    <col min="54" max="54" width="3.625" style="2" customWidth="1"/>
    <col min="55" max="55" width="3.875" style="2" customWidth="1"/>
    <col min="56" max="56" width="3.625" style="2" customWidth="1"/>
    <col min="57" max="57" width="3.375" style="2" customWidth="1"/>
    <col min="58" max="58" width="3.5" style="2" customWidth="1"/>
    <col min="59" max="59" width="4" style="2" customWidth="1"/>
    <col min="60" max="60" width="3.75" style="2" customWidth="1"/>
    <col min="61" max="61" width="3.625" style="2" customWidth="1"/>
    <col min="62" max="62" width="4" style="2" customWidth="1"/>
    <col min="63" max="63" width="3.5" style="2" customWidth="1"/>
    <col min="64" max="65" width="3.625" style="2" customWidth="1"/>
    <col min="66" max="67" width="3.5" style="2" customWidth="1"/>
    <col min="68" max="68" width="4.125" style="2" customWidth="1"/>
    <col min="69" max="69" width="3.5" style="2" customWidth="1"/>
    <col min="70" max="70" width="4" style="2" customWidth="1"/>
    <col min="71" max="72" width="4.125" style="2" customWidth="1"/>
    <col min="73" max="74" width="3.625" style="2" customWidth="1"/>
    <col min="75" max="76" width="3.5" style="2" customWidth="1"/>
    <col min="77" max="78" width="3.625" style="2" customWidth="1"/>
    <col min="79" max="79" width="3.5" style="2" customWidth="1"/>
    <col min="80" max="80" width="3.375" style="2" customWidth="1"/>
    <col min="81" max="81" width="3.625" style="2" customWidth="1"/>
    <col min="82" max="82" width="3.75" style="2" customWidth="1"/>
    <col min="83" max="83" width="3.625" style="2" customWidth="1"/>
    <col min="84" max="84" width="3.5" style="2" customWidth="1"/>
    <col min="85" max="85" width="3.375" style="2" customWidth="1"/>
    <col min="86" max="86" width="3.75" style="2" customWidth="1"/>
    <col min="87" max="87" width="3.625" style="2" customWidth="1"/>
    <col min="88" max="88" width="3.375" style="2" customWidth="1"/>
    <col min="89" max="89" width="3.25" style="2" customWidth="1"/>
    <col min="90" max="90" width="3.625" style="2" customWidth="1"/>
    <col min="91" max="91" width="3.75" style="2" customWidth="1"/>
    <col min="92" max="92" width="3.25" style="2" customWidth="1"/>
    <col min="93" max="93" width="3.5" style="2" customWidth="1"/>
    <col min="94" max="94" width="3.875" style="2" customWidth="1"/>
    <col min="95" max="95" width="3.5" style="2" customWidth="1"/>
    <col min="96" max="96" width="3.75" style="2" customWidth="1"/>
    <col min="97" max="97" width="3.25" style="2" customWidth="1"/>
    <col min="98" max="98" width="3.75" style="2" customWidth="1"/>
    <col min="99" max="99" width="3.5" style="2" customWidth="1"/>
    <col min="100" max="100" width="3.875" style="2" customWidth="1"/>
    <col min="101" max="101" width="3.625" style="2" customWidth="1"/>
    <col min="102" max="102" width="3.5" style="2" customWidth="1"/>
    <col min="103" max="103" width="4" style="2" customWidth="1"/>
    <col min="104" max="104" width="3.75" style="2" customWidth="1"/>
    <col min="105" max="105" width="4" style="2" customWidth="1"/>
    <col min="106" max="106" width="4.125" style="2" customWidth="1"/>
    <col min="107" max="107" width="3.375" style="2" customWidth="1"/>
    <col min="108" max="108" width="3.75" style="2" customWidth="1"/>
    <col min="109" max="109" width="3.5" style="2" customWidth="1"/>
    <col min="110" max="110" width="4" style="2" customWidth="1"/>
    <col min="111" max="111" width="3.75" style="2" customWidth="1"/>
    <col min="112" max="112" width="4.25" style="2" customWidth="1"/>
    <col min="113" max="113" width="3.625" style="2" customWidth="1"/>
    <col min="114" max="114" width="4.25" style="2" customWidth="1"/>
    <col min="115" max="116" width="3.875" style="2" customWidth="1"/>
    <col min="117" max="117" width="4" style="2" customWidth="1"/>
    <col min="118" max="118" width="3.5" style="2" customWidth="1"/>
    <col min="119" max="119" width="3.75" style="2" customWidth="1"/>
    <col min="120" max="120" width="3.625" style="2" customWidth="1"/>
    <col min="121" max="121" width="3.875" style="2" customWidth="1"/>
    <col min="122" max="122" width="3.625" style="2" customWidth="1"/>
    <col min="123" max="123" width="3.375" style="2" customWidth="1"/>
    <col min="124" max="124" width="3.5" style="2" customWidth="1"/>
    <col min="125" max="125" width="4" style="2" customWidth="1"/>
    <col min="126" max="126" width="3.75" style="2" customWidth="1"/>
    <col min="127" max="127" width="3.625" style="2" customWidth="1"/>
    <col min="128" max="128" width="4" style="2" customWidth="1"/>
    <col min="129" max="16384" width="11.5" style="2"/>
  </cols>
  <sheetData>
    <row r="1" spans="2:48" ht="21" customHeight="1"/>
    <row r="3" spans="2:48" ht="26.25">
      <c r="C3" s="256"/>
      <c r="D3" s="256"/>
      <c r="E3" s="256"/>
      <c r="J3" s="257" t="s">
        <v>178</v>
      </c>
      <c r="K3" s="258"/>
      <c r="L3" s="258"/>
      <c r="M3" s="258"/>
      <c r="N3" s="258"/>
      <c r="O3" s="258"/>
      <c r="P3" s="258"/>
      <c r="Q3" s="258"/>
      <c r="R3" s="258"/>
      <c r="S3" s="258"/>
      <c r="T3" s="258"/>
      <c r="U3" s="258"/>
      <c r="V3" s="258"/>
      <c r="W3" s="258"/>
      <c r="X3" s="258"/>
      <c r="Y3" s="258"/>
      <c r="Z3" s="258"/>
      <c r="AA3" s="258"/>
      <c r="AB3" s="258"/>
      <c r="AC3" s="258"/>
      <c r="AD3" s="258"/>
      <c r="AE3" s="259"/>
    </row>
    <row r="4" spans="2:48" ht="15.6" customHeight="1">
      <c r="C4" s="154"/>
      <c r="D4" s="154"/>
      <c r="E4" s="154"/>
      <c r="J4" s="166"/>
      <c r="K4" s="166"/>
      <c r="L4" s="166"/>
      <c r="M4" s="166"/>
      <c r="N4" s="166"/>
      <c r="O4" s="166"/>
      <c r="P4" s="166"/>
      <c r="Q4" s="166"/>
      <c r="R4" s="166"/>
      <c r="S4" s="166"/>
      <c r="T4" s="166"/>
      <c r="U4" s="166"/>
      <c r="V4" s="166"/>
      <c r="W4" s="166"/>
      <c r="X4" s="166"/>
      <c r="Y4" s="166"/>
      <c r="Z4" s="166"/>
      <c r="AA4" s="166"/>
      <c r="AB4" s="166"/>
      <c r="AC4" s="166"/>
      <c r="AD4" s="166"/>
      <c r="AE4" s="166"/>
    </row>
    <row r="5" spans="2:48" ht="15.6" customHeight="1">
      <c r="C5" s="155"/>
      <c r="D5" s="154"/>
      <c r="E5" s="154"/>
      <c r="J5" s="166"/>
      <c r="K5" s="166"/>
      <c r="L5" s="166"/>
      <c r="M5" s="166"/>
      <c r="N5" s="166"/>
      <c r="O5" s="166"/>
      <c r="P5" s="166"/>
      <c r="Q5" s="166"/>
      <c r="R5" s="166"/>
      <c r="S5" s="166"/>
      <c r="T5" s="166"/>
      <c r="U5" s="166"/>
      <c r="V5" s="166"/>
      <c r="W5" s="166"/>
      <c r="X5" s="166"/>
      <c r="Z5" s="260" t="s">
        <v>179</v>
      </c>
      <c r="AA5" s="260"/>
      <c r="AB5" s="260"/>
      <c r="AC5" s="261"/>
      <c r="AD5" s="262" t="s">
        <v>180</v>
      </c>
      <c r="AE5" s="263"/>
      <c r="AF5" s="263"/>
      <c r="AG5" s="263"/>
      <c r="AH5" s="263"/>
      <c r="AI5" s="263"/>
      <c r="AJ5" s="263"/>
      <c r="AK5" s="263"/>
      <c r="AL5" s="264"/>
    </row>
    <row r="7" spans="2:48" ht="15">
      <c r="C7" s="265" t="s">
        <v>181</v>
      </c>
      <c r="D7" s="265"/>
      <c r="E7" s="265"/>
      <c r="F7" s="265"/>
      <c r="G7" s="265"/>
      <c r="H7" s="265"/>
      <c r="I7" s="167">
        <v>12</v>
      </c>
      <c r="J7" s="45" t="s">
        <v>182</v>
      </c>
      <c r="K7" s="167">
        <v>1</v>
      </c>
      <c r="L7" s="45" t="s">
        <v>182</v>
      </c>
      <c r="M7" s="266">
        <v>2026</v>
      </c>
      <c r="N7" s="266"/>
      <c r="Y7" s="267" t="s">
        <v>183</v>
      </c>
      <c r="Z7" s="267"/>
      <c r="AA7" s="267"/>
      <c r="AB7" s="267"/>
      <c r="AC7" s="267"/>
      <c r="AD7" s="268" t="s">
        <v>421</v>
      </c>
      <c r="AE7" s="266"/>
      <c r="AF7" s="266"/>
      <c r="AG7" s="266"/>
      <c r="AH7" s="266"/>
      <c r="AI7" s="266"/>
      <c r="AJ7" s="266"/>
      <c r="AK7" s="266"/>
      <c r="AL7" s="269"/>
    </row>
    <row r="8" spans="2:48">
      <c r="C8" s="154"/>
      <c r="D8" s="154"/>
      <c r="E8" s="154"/>
      <c r="F8" s="154"/>
      <c r="G8" s="154"/>
      <c r="H8" s="154"/>
      <c r="Y8" s="154"/>
      <c r="Z8" s="154"/>
      <c r="AA8" s="154"/>
      <c r="AB8" s="154"/>
      <c r="AC8" s="154"/>
      <c r="AD8" s="45"/>
      <c r="AE8" s="45"/>
      <c r="AF8" s="45"/>
      <c r="AG8" s="45"/>
      <c r="AH8" s="45"/>
      <c r="AI8" s="45"/>
      <c r="AJ8" s="45"/>
      <c r="AK8" s="45"/>
      <c r="AL8" s="45"/>
    </row>
    <row r="9" spans="2:48" ht="7.9" customHeight="1"/>
    <row r="10" spans="2:48" ht="18.75">
      <c r="B10" s="4" t="s">
        <v>184</v>
      </c>
      <c r="C10" s="156" t="s">
        <v>185</v>
      </c>
      <c r="D10" s="156"/>
      <c r="E10" s="156"/>
      <c r="F10" s="156"/>
      <c r="G10" s="156"/>
      <c r="H10" s="156"/>
      <c r="I10" s="156"/>
      <c r="J10" s="156"/>
      <c r="K10" s="156"/>
      <c r="L10" s="156"/>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80"/>
    </row>
    <row r="11" spans="2:48" ht="9.6" customHeight="1">
      <c r="B11" s="6"/>
      <c r="AM11" s="14"/>
    </row>
    <row r="12" spans="2:48" ht="15">
      <c r="B12" s="6"/>
      <c r="C12" s="265" t="s">
        <v>186</v>
      </c>
      <c r="D12" s="265"/>
      <c r="E12" s="265"/>
      <c r="F12" s="265"/>
      <c r="G12" s="270"/>
      <c r="H12" s="271" t="s">
        <v>433</v>
      </c>
      <c r="I12" s="272"/>
      <c r="J12" s="272"/>
      <c r="K12" s="272"/>
      <c r="L12" s="272"/>
      <c r="M12" s="272"/>
      <c r="N12" s="272"/>
      <c r="O12" s="272"/>
      <c r="P12" s="272"/>
      <c r="Q12" s="272"/>
      <c r="R12" s="272"/>
      <c r="S12" s="272"/>
      <c r="T12" s="272"/>
      <c r="U12" s="272"/>
      <c r="V12" s="272"/>
      <c r="W12" s="272"/>
      <c r="X12" s="272"/>
      <c r="Y12" s="272"/>
      <c r="Z12" s="273"/>
      <c r="AB12" s="274" t="s">
        <v>187</v>
      </c>
      <c r="AC12" s="274"/>
      <c r="AD12" s="274"/>
      <c r="AE12" s="274"/>
      <c r="AF12" s="274"/>
      <c r="AG12" s="275"/>
      <c r="AH12" s="271">
        <v>95240025289</v>
      </c>
      <c r="AI12" s="272"/>
      <c r="AJ12" s="272"/>
      <c r="AK12" s="272"/>
      <c r="AL12" s="273"/>
      <c r="AM12" s="14"/>
    </row>
    <row r="13" spans="2:48" ht="15">
      <c r="B13" s="6"/>
      <c r="C13" s="157"/>
      <c r="D13" s="157"/>
      <c r="E13" s="157"/>
      <c r="F13" s="157"/>
      <c r="G13" s="157"/>
      <c r="H13" s="276" t="s">
        <v>188</v>
      </c>
      <c r="I13" s="277"/>
      <c r="J13" s="277"/>
      <c r="K13" s="277"/>
      <c r="L13" s="277"/>
      <c r="M13" s="277"/>
      <c r="N13" s="277"/>
      <c r="O13" s="277"/>
      <c r="P13" s="277"/>
      <c r="Q13" s="277"/>
      <c r="R13" s="277"/>
      <c r="S13" s="277"/>
      <c r="T13" s="277"/>
      <c r="U13" s="277"/>
      <c r="V13" s="277"/>
      <c r="W13" s="277"/>
      <c r="X13" s="277"/>
      <c r="Y13" s="277"/>
      <c r="Z13" s="277"/>
      <c r="AB13" s="175"/>
      <c r="AC13" s="175"/>
      <c r="AD13" s="175"/>
      <c r="AE13" s="175"/>
      <c r="AG13" s="175"/>
      <c r="AH13" s="175"/>
      <c r="AI13" s="175"/>
      <c r="AJ13" s="175"/>
      <c r="AK13" s="175"/>
      <c r="AL13" s="175"/>
      <c r="AM13" s="14"/>
    </row>
    <row r="14" spans="2:48" ht="20.45" customHeight="1">
      <c r="B14" s="6"/>
      <c r="C14" s="278" t="s">
        <v>189</v>
      </c>
      <c r="D14" s="278"/>
      <c r="E14" s="278"/>
      <c r="F14" s="278"/>
      <c r="G14" s="278"/>
      <c r="H14" s="278"/>
      <c r="I14" s="278"/>
      <c r="J14" s="279" t="s">
        <v>419</v>
      </c>
      <c r="K14" s="279"/>
      <c r="L14" s="279"/>
      <c r="M14" s="279"/>
      <c r="N14" s="279"/>
      <c r="O14" s="279"/>
      <c r="P14" s="279"/>
      <c r="Q14" s="279"/>
      <c r="R14" s="279"/>
      <c r="S14" s="279"/>
      <c r="T14" s="280" t="s">
        <v>190</v>
      </c>
      <c r="U14" s="280"/>
      <c r="V14" s="280"/>
      <c r="W14" s="280"/>
      <c r="X14" s="280"/>
      <c r="Y14" s="281">
        <v>2115042212100030</v>
      </c>
      <c r="Z14" s="281"/>
      <c r="AA14" s="281"/>
      <c r="AB14" s="281"/>
      <c r="AC14" s="281"/>
      <c r="AD14" s="281"/>
      <c r="AE14" s="281"/>
      <c r="AF14" s="281"/>
      <c r="AG14" s="281"/>
      <c r="AH14" s="281"/>
      <c r="AI14" s="281"/>
      <c r="AJ14" s="281"/>
      <c r="AK14" s="281"/>
      <c r="AL14" s="281"/>
      <c r="AM14" s="14"/>
    </row>
    <row r="15" spans="2:48" ht="8.4499999999999993" customHeight="1">
      <c r="B15" s="6"/>
      <c r="C15" s="158"/>
      <c r="D15" s="158"/>
      <c r="E15" s="158"/>
      <c r="F15" s="158"/>
      <c r="G15" s="158"/>
      <c r="H15" s="158"/>
      <c r="I15" s="158"/>
      <c r="J15" s="169"/>
      <c r="K15" s="169"/>
      <c r="L15" s="169"/>
      <c r="M15" s="169"/>
      <c r="N15" s="169"/>
      <c r="O15" s="169"/>
      <c r="P15" s="169"/>
      <c r="Q15" s="169"/>
      <c r="R15" s="169"/>
      <c r="S15" s="169"/>
      <c r="T15" s="173"/>
      <c r="U15" s="173"/>
      <c r="V15" s="173"/>
      <c r="W15" s="173"/>
      <c r="X15" s="173"/>
      <c r="Y15" s="176"/>
      <c r="Z15" s="45"/>
      <c r="AC15" s="154"/>
      <c r="AD15" s="154"/>
      <c r="AE15" s="154"/>
      <c r="AF15" s="154"/>
      <c r="AG15" s="154"/>
      <c r="AH15" s="45"/>
      <c r="AI15" s="45"/>
      <c r="AJ15" s="45"/>
      <c r="AK15" s="45"/>
      <c r="AL15" s="45"/>
      <c r="AM15" s="14"/>
    </row>
    <row r="16" spans="2:48" ht="21" customHeight="1">
      <c r="B16" s="6"/>
      <c r="C16" s="265" t="s">
        <v>191</v>
      </c>
      <c r="D16" s="265"/>
      <c r="E16" s="265"/>
      <c r="F16" s="265"/>
      <c r="G16" s="265"/>
      <c r="H16" s="265"/>
      <c r="I16" s="265"/>
      <c r="J16" s="167">
        <v>10</v>
      </c>
      <c r="K16" s="170" t="s">
        <v>182</v>
      </c>
      <c r="L16" s="167">
        <v>12</v>
      </c>
      <c r="M16" s="170" t="s">
        <v>182</v>
      </c>
      <c r="N16" s="266">
        <v>1991</v>
      </c>
      <c r="O16" s="266"/>
      <c r="P16" s="170" t="s">
        <v>192</v>
      </c>
      <c r="Q16" s="282" t="s">
        <v>424</v>
      </c>
      <c r="R16" s="282"/>
      <c r="S16" s="282"/>
      <c r="T16" s="282"/>
      <c r="U16" s="282"/>
      <c r="V16" s="282"/>
      <c r="W16" s="282"/>
      <c r="X16" s="170"/>
      <c r="Y16" s="265" t="s">
        <v>193</v>
      </c>
      <c r="Z16" s="265"/>
      <c r="AA16" s="283" t="s">
        <v>425</v>
      </c>
      <c r="AB16" s="284"/>
      <c r="AC16" s="284"/>
      <c r="AD16" s="284"/>
      <c r="AE16" s="284"/>
      <c r="AF16" s="285"/>
      <c r="AG16" s="176"/>
      <c r="AH16" s="176"/>
      <c r="AI16" s="176"/>
      <c r="AJ16" s="181"/>
      <c r="AK16" s="181"/>
      <c r="AL16" s="3"/>
      <c r="AM16" s="182"/>
      <c r="AN16" s="154"/>
      <c r="AO16" s="154"/>
      <c r="AP16" s="154"/>
      <c r="AQ16" s="154"/>
      <c r="AR16" s="45"/>
      <c r="AS16" s="45"/>
      <c r="AT16" s="286"/>
      <c r="AU16" s="286"/>
      <c r="AV16" s="45"/>
    </row>
    <row r="17" spans="2:39" ht="9.6" customHeight="1">
      <c r="B17" s="6"/>
      <c r="AC17" s="256"/>
      <c r="AD17" s="256"/>
      <c r="AE17" s="256"/>
      <c r="AG17" s="3"/>
      <c r="AH17" s="3"/>
      <c r="AM17" s="14"/>
    </row>
    <row r="18" spans="2:39" ht="19.149999999999999" customHeight="1">
      <c r="B18" s="6"/>
      <c r="C18" s="265" t="s">
        <v>194</v>
      </c>
      <c r="D18" s="265"/>
      <c r="E18" s="265"/>
      <c r="F18" s="265"/>
      <c r="G18" s="265"/>
      <c r="H18" s="265"/>
      <c r="I18" s="283" t="s">
        <v>426</v>
      </c>
      <c r="J18" s="284"/>
      <c r="K18" s="284"/>
      <c r="L18" s="284"/>
      <c r="M18" s="285"/>
      <c r="O18" s="267" t="s">
        <v>195</v>
      </c>
      <c r="P18" s="267"/>
      <c r="Q18" s="267"/>
      <c r="R18" s="267"/>
      <c r="S18" s="267"/>
      <c r="T18" s="267"/>
      <c r="U18" s="267"/>
      <c r="V18" s="267"/>
      <c r="W18" s="267"/>
      <c r="X18" s="267"/>
      <c r="Y18" s="171"/>
      <c r="AA18" s="162" t="s">
        <v>196</v>
      </c>
      <c r="AB18" s="162"/>
      <c r="AC18" s="162"/>
      <c r="AD18" s="162"/>
      <c r="AE18" s="162"/>
      <c r="AF18" s="162"/>
      <c r="AG18" s="162"/>
      <c r="AH18" s="162"/>
      <c r="AI18" s="162"/>
      <c r="AJ18" s="287">
        <v>1</v>
      </c>
      <c r="AK18" s="287"/>
      <c r="AM18" s="14"/>
    </row>
    <row r="19" spans="2:39" ht="9" customHeight="1">
      <c r="B19" s="6"/>
      <c r="AC19" s="154"/>
      <c r="AD19" s="154"/>
      <c r="AE19" s="154"/>
      <c r="AG19" s="3"/>
      <c r="AH19" s="3"/>
      <c r="AM19" s="14"/>
    </row>
    <row r="20" spans="2:39" ht="22.15" customHeight="1">
      <c r="B20" s="6"/>
      <c r="C20" s="288" t="s">
        <v>197</v>
      </c>
      <c r="D20" s="288"/>
      <c r="E20" s="288"/>
      <c r="F20" s="288"/>
      <c r="G20" s="288"/>
      <c r="H20" s="288"/>
      <c r="I20" s="288"/>
      <c r="J20" s="288"/>
      <c r="K20" s="287" t="s">
        <v>427</v>
      </c>
      <c r="L20" s="287"/>
      <c r="M20" s="287"/>
      <c r="N20" s="287"/>
      <c r="O20" s="287"/>
      <c r="P20" s="287"/>
      <c r="Q20" s="287"/>
      <c r="R20" s="287"/>
      <c r="S20" s="287"/>
      <c r="T20" s="287"/>
      <c r="U20" s="287"/>
      <c r="V20" s="287"/>
      <c r="W20" s="287"/>
      <c r="X20" s="287"/>
      <c r="Y20" s="287"/>
      <c r="Z20" s="287"/>
      <c r="AA20" s="287"/>
      <c r="AB20" s="287"/>
      <c r="AC20" s="287"/>
      <c r="AD20" s="287"/>
      <c r="AE20" s="287"/>
      <c r="AF20" s="287"/>
      <c r="AG20" s="287"/>
      <c r="AH20" s="287"/>
      <c r="AI20" s="287"/>
      <c r="AJ20" s="287"/>
      <c r="AK20" s="287"/>
      <c r="AL20" s="287"/>
      <c r="AM20" s="14"/>
    </row>
    <row r="21" spans="2:39" ht="15.4" customHeight="1">
      <c r="B21" s="6"/>
      <c r="C21" s="159"/>
      <c r="D21" s="159"/>
      <c r="E21" s="159"/>
      <c r="F21" s="159"/>
      <c r="G21" s="159"/>
      <c r="H21" s="159"/>
      <c r="I21" s="159"/>
      <c r="J21" s="159"/>
      <c r="K21" s="287" t="s">
        <v>428</v>
      </c>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14"/>
    </row>
    <row r="22" spans="2:39" ht="16.149999999999999" customHeight="1">
      <c r="B22" s="6"/>
      <c r="C22" s="159"/>
      <c r="D22" s="159"/>
      <c r="E22" s="159"/>
      <c r="F22" s="159"/>
      <c r="G22" s="159"/>
      <c r="H22" s="159"/>
      <c r="I22" s="159"/>
      <c r="J22" s="159"/>
      <c r="K22" s="287"/>
      <c r="L22" s="287"/>
      <c r="M22" s="287"/>
      <c r="N22" s="287"/>
      <c r="O22" s="287"/>
      <c r="P22" s="287"/>
      <c r="Q22" s="287"/>
      <c r="R22" s="287"/>
      <c r="S22" s="287"/>
      <c r="T22" s="287"/>
      <c r="U22" s="287"/>
      <c r="V22" s="287"/>
      <c r="W22" s="287"/>
      <c r="X22" s="287"/>
      <c r="Y22" s="287"/>
      <c r="Z22" s="287"/>
      <c r="AA22" s="287"/>
      <c r="AB22" s="287"/>
      <c r="AC22" s="287"/>
      <c r="AD22" s="287"/>
      <c r="AE22" s="287"/>
      <c r="AF22" s="287"/>
      <c r="AG22" s="287"/>
      <c r="AH22" s="287"/>
      <c r="AI22" s="287"/>
      <c r="AJ22" s="287"/>
      <c r="AK22" s="287"/>
      <c r="AL22" s="287"/>
      <c r="AM22" s="14"/>
    </row>
    <row r="23" spans="2:39" ht="14.45" customHeight="1">
      <c r="B23" s="6"/>
      <c r="C23" s="160"/>
      <c r="D23" s="160"/>
      <c r="E23" s="160"/>
      <c r="F23" s="160"/>
      <c r="G23" s="160"/>
      <c r="H23" s="82"/>
      <c r="I23" s="82"/>
      <c r="J23" s="82"/>
      <c r="K23" s="82"/>
      <c r="L23" s="82"/>
      <c r="M23" s="82"/>
      <c r="N23" s="82"/>
      <c r="O23" s="289" t="s">
        <v>198</v>
      </c>
      <c r="P23" s="289"/>
      <c r="Q23" s="289"/>
      <c r="R23" s="289"/>
      <c r="S23" s="289"/>
      <c r="T23" s="289"/>
      <c r="U23" s="289"/>
      <c r="V23" s="289"/>
      <c r="W23" s="289"/>
      <c r="X23" s="289"/>
      <c r="Y23" s="289"/>
      <c r="Z23" s="289"/>
      <c r="AC23" s="177"/>
      <c r="AD23" s="177"/>
      <c r="AE23" s="177"/>
      <c r="AF23" s="177"/>
      <c r="AG23" s="177"/>
      <c r="AH23" s="183"/>
      <c r="AI23" s="183"/>
      <c r="AJ23" s="183"/>
      <c r="AK23" s="183"/>
      <c r="AL23" s="183"/>
      <c r="AM23" s="14"/>
    </row>
    <row r="24" spans="2:39" ht="17.45" customHeight="1">
      <c r="B24" s="6"/>
      <c r="C24" s="290" t="s">
        <v>199</v>
      </c>
      <c r="D24" s="290"/>
      <c r="E24" s="290"/>
      <c r="F24" s="290"/>
      <c r="G24" s="290"/>
      <c r="H24" s="290"/>
      <c r="I24" s="290"/>
      <c r="J24" s="290"/>
      <c r="K24" s="291">
        <v>11</v>
      </c>
      <c r="L24" s="291"/>
      <c r="M24" s="291"/>
      <c r="N24" s="159"/>
      <c r="O24" s="159"/>
      <c r="P24" s="292" t="s">
        <v>200</v>
      </c>
      <c r="Q24" s="292"/>
      <c r="R24" s="292"/>
      <c r="S24" s="292"/>
      <c r="T24" s="292"/>
      <c r="U24" s="292"/>
      <c r="V24" s="283" t="s">
        <v>420</v>
      </c>
      <c r="W24" s="284"/>
      <c r="X24" s="284"/>
      <c r="Y24" s="284"/>
      <c r="Z24" s="285"/>
      <c r="AB24" s="174"/>
      <c r="AC24" s="174"/>
      <c r="AD24" s="174"/>
      <c r="AE24" s="174"/>
      <c r="AF24" s="174"/>
      <c r="AG24" s="174"/>
      <c r="AH24" s="174"/>
      <c r="AI24" s="174"/>
      <c r="AJ24" s="174"/>
      <c r="AK24" s="174"/>
      <c r="AL24" s="174"/>
      <c r="AM24" s="14"/>
    </row>
    <row r="25" spans="2:39" ht="6.4" customHeight="1">
      <c r="B25" s="9"/>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5"/>
    </row>
    <row r="27" spans="2:39" ht="18.75">
      <c r="B27" s="4" t="s">
        <v>201</v>
      </c>
      <c r="C27" s="293" t="s">
        <v>202</v>
      </c>
      <c r="D27" s="293"/>
      <c r="E27" s="293"/>
      <c r="F27" s="293"/>
      <c r="G27" s="293"/>
      <c r="H27" s="293"/>
      <c r="I27" s="293"/>
      <c r="J27" s="293"/>
      <c r="K27" s="293"/>
      <c r="L27" s="293"/>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80"/>
    </row>
    <row r="28" spans="2:39" ht="7.9" customHeight="1">
      <c r="B28" s="6"/>
      <c r="AM28" s="14"/>
    </row>
    <row r="29" spans="2:39" ht="18.600000000000001" customHeight="1">
      <c r="B29" s="6"/>
      <c r="C29" s="265" t="s">
        <v>203</v>
      </c>
      <c r="D29" s="265"/>
      <c r="E29" s="265"/>
      <c r="F29" s="265"/>
      <c r="G29" s="294" t="s">
        <v>1</v>
      </c>
      <c r="H29" s="295"/>
      <c r="I29" s="295"/>
      <c r="J29" s="295"/>
      <c r="K29" s="295"/>
      <c r="L29" s="296"/>
      <c r="M29" s="267" t="s">
        <v>204</v>
      </c>
      <c r="N29" s="267"/>
      <c r="O29" s="267"/>
      <c r="P29" s="267"/>
      <c r="Q29" s="267"/>
      <c r="R29" s="283" t="s">
        <v>5</v>
      </c>
      <c r="S29" s="284"/>
      <c r="T29" s="284"/>
      <c r="U29" s="284"/>
      <c r="V29" s="284"/>
      <c r="W29" s="284"/>
      <c r="X29" s="285"/>
      <c r="Z29" s="8"/>
      <c r="AA29" s="8"/>
      <c r="AB29" s="8"/>
      <c r="AC29" s="8"/>
      <c r="AD29" s="8"/>
      <c r="AE29" s="8"/>
      <c r="AF29" s="8"/>
      <c r="AG29" s="8"/>
      <c r="AH29" s="8"/>
      <c r="AI29" s="8"/>
      <c r="AJ29" s="8"/>
      <c r="AK29" s="8"/>
      <c r="AL29" s="8"/>
      <c r="AM29" s="14"/>
    </row>
    <row r="30" spans="2:39" ht="9.6" customHeight="1">
      <c r="B30" s="6"/>
      <c r="AM30" s="14"/>
    </row>
    <row r="31" spans="2:39" ht="15">
      <c r="B31" s="6"/>
      <c r="C31" s="297" t="s">
        <v>205</v>
      </c>
      <c r="D31" s="297"/>
      <c r="E31" s="297"/>
      <c r="F31" s="297"/>
      <c r="G31" s="297"/>
      <c r="H31" s="297"/>
      <c r="I31" s="297"/>
      <c r="J31" s="298" t="s">
        <v>422</v>
      </c>
      <c r="K31" s="298"/>
      <c r="L31" s="298"/>
      <c r="M31" s="298"/>
      <c r="N31" s="298"/>
      <c r="O31" s="298"/>
      <c r="P31" s="298"/>
      <c r="Q31" s="298"/>
      <c r="R31" s="298"/>
      <c r="S31" s="298"/>
      <c r="T31" s="298"/>
      <c r="U31" s="298"/>
      <c r="V31" s="298"/>
      <c r="W31" s="298"/>
      <c r="X31" s="298"/>
      <c r="Y31" s="298"/>
      <c r="Z31" s="298"/>
      <c r="AA31" s="298"/>
      <c r="AB31" s="298"/>
      <c r="AC31" s="298"/>
      <c r="AD31" s="298"/>
      <c r="AE31" s="298"/>
      <c r="AF31" s="298"/>
      <c r="AG31" s="298"/>
      <c r="AH31" s="298"/>
      <c r="AI31" s="298"/>
      <c r="AJ31" s="298"/>
      <c r="AK31" s="298"/>
      <c r="AL31" s="298"/>
      <c r="AM31" s="14"/>
    </row>
    <row r="32" spans="2:39">
      <c r="B32" s="6"/>
      <c r="AM32" s="14"/>
    </row>
    <row r="33" spans="2:39" ht="15">
      <c r="B33" s="6"/>
      <c r="C33" s="265" t="s">
        <v>206</v>
      </c>
      <c r="D33" s="265"/>
      <c r="E33" s="265"/>
      <c r="F33" s="265"/>
      <c r="G33" s="265"/>
      <c r="H33" s="265"/>
      <c r="I33" s="265"/>
      <c r="J33" s="265"/>
      <c r="L33" s="299">
        <v>20</v>
      </c>
      <c r="M33" s="299"/>
      <c r="P33" s="265" t="s">
        <v>207</v>
      </c>
      <c r="Q33" s="265"/>
      <c r="R33" s="265"/>
      <c r="S33" s="265"/>
      <c r="T33" s="265"/>
      <c r="U33" s="265"/>
      <c r="V33" s="265"/>
      <c r="W33" s="265"/>
      <c r="X33" s="329" t="s">
        <v>423</v>
      </c>
      <c r="Y33" s="329"/>
      <c r="Z33" s="329"/>
      <c r="AA33" s="329"/>
      <c r="AB33" s="329"/>
      <c r="AC33" s="329"/>
      <c r="AD33" s="329"/>
      <c r="AE33" s="329"/>
      <c r="AF33" s="329"/>
      <c r="AG33" s="329"/>
      <c r="AH33" s="329"/>
      <c r="AI33" s="329"/>
      <c r="AJ33" s="329"/>
      <c r="AK33" s="329"/>
      <c r="AL33" s="329"/>
      <c r="AM33" s="14"/>
    </row>
    <row r="34" spans="2:39">
      <c r="B34" s="6"/>
      <c r="C34" s="300" t="s">
        <v>208</v>
      </c>
      <c r="D34" s="300"/>
      <c r="E34" s="300"/>
      <c r="F34" s="300"/>
      <c r="G34" s="300"/>
      <c r="H34" s="300"/>
      <c r="I34" s="300"/>
      <c r="J34" s="300"/>
      <c r="K34" s="300"/>
      <c r="L34" s="300"/>
      <c r="M34" s="300"/>
      <c r="X34" s="329"/>
      <c r="Y34" s="329"/>
      <c r="Z34" s="329"/>
      <c r="AA34" s="329"/>
      <c r="AB34" s="329"/>
      <c r="AC34" s="329"/>
      <c r="AD34" s="329"/>
      <c r="AE34" s="329"/>
      <c r="AF34" s="329"/>
      <c r="AG34" s="329"/>
      <c r="AH34" s="329"/>
      <c r="AI34" s="329"/>
      <c r="AJ34" s="329"/>
      <c r="AK34" s="329"/>
      <c r="AL34" s="329"/>
      <c r="AM34" s="14"/>
    </row>
    <row r="35" spans="2:39" ht="12" customHeight="1">
      <c r="B35" s="6"/>
      <c r="C35" s="161"/>
      <c r="D35" s="161"/>
      <c r="E35" s="161"/>
      <c r="F35" s="161"/>
      <c r="G35" s="161"/>
      <c r="H35" s="161"/>
      <c r="I35" s="161"/>
      <c r="J35" s="161"/>
      <c r="K35" s="161"/>
      <c r="X35" s="162"/>
      <c r="Y35" s="162"/>
      <c r="Z35" s="162"/>
      <c r="AM35" s="14"/>
    </row>
    <row r="36" spans="2:39" ht="15">
      <c r="B36" s="6"/>
      <c r="C36" s="265" t="s">
        <v>209</v>
      </c>
      <c r="D36" s="265"/>
      <c r="E36" s="265"/>
      <c r="F36" s="265"/>
      <c r="G36" s="301" t="s">
        <v>429</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14"/>
    </row>
    <row r="37" spans="2:39" ht="9.6" customHeight="1">
      <c r="B37" s="6"/>
      <c r="C37" s="162"/>
      <c r="R37" s="162"/>
      <c r="S37" s="162"/>
      <c r="T37" s="162"/>
      <c r="U37" s="162"/>
      <c r="V37" s="162"/>
      <c r="W37" s="162"/>
      <c r="X37" s="162"/>
      <c r="Y37" s="178"/>
      <c r="Z37" s="178"/>
      <c r="AA37" s="178"/>
      <c r="AB37" s="178"/>
      <c r="AC37" s="178"/>
      <c r="AD37" s="178"/>
      <c r="AE37" s="178"/>
      <c r="AF37" s="178"/>
      <c r="AG37" s="178"/>
      <c r="AH37" s="178"/>
      <c r="AI37" s="178"/>
      <c r="AJ37" s="178"/>
      <c r="AK37" s="178"/>
      <c r="AL37" s="178"/>
      <c r="AM37" s="14"/>
    </row>
    <row r="38" spans="2:39" ht="15">
      <c r="B38" s="6"/>
      <c r="C38" s="265" t="s">
        <v>210</v>
      </c>
      <c r="D38" s="265"/>
      <c r="E38" s="265"/>
      <c r="F38" s="265"/>
      <c r="G38" s="299" t="s">
        <v>430</v>
      </c>
      <c r="H38" s="299"/>
      <c r="I38" s="299"/>
      <c r="J38" s="299"/>
      <c r="K38" s="299"/>
      <c r="L38" s="299"/>
      <c r="M38" s="299"/>
      <c r="R38" s="162"/>
      <c r="S38" s="162"/>
      <c r="T38" s="162"/>
      <c r="U38" s="162"/>
      <c r="V38" s="162"/>
      <c r="W38" s="162"/>
      <c r="X38" s="162"/>
      <c r="Y38" s="178"/>
      <c r="Z38" s="178"/>
      <c r="AA38" s="178"/>
      <c r="AB38" s="178"/>
      <c r="AC38" s="178"/>
      <c r="AD38" s="178"/>
      <c r="AE38" s="178"/>
      <c r="AF38" s="178"/>
      <c r="AG38" s="178"/>
      <c r="AH38" s="178"/>
      <c r="AI38" s="178"/>
      <c r="AJ38" s="178"/>
      <c r="AK38" s="178"/>
      <c r="AL38" s="178"/>
      <c r="AM38" s="14"/>
    </row>
    <row r="39" spans="2:39">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5"/>
    </row>
    <row r="41" spans="2:39" ht="18.75">
      <c r="B41" s="4" t="s">
        <v>211</v>
      </c>
      <c r="C41" s="302" t="s">
        <v>212</v>
      </c>
      <c r="D41" s="302"/>
      <c r="E41" s="302"/>
      <c r="F41" s="302"/>
      <c r="G41" s="302"/>
      <c r="H41" s="302"/>
      <c r="I41" s="302"/>
      <c r="J41" s="302"/>
      <c r="K41" s="302"/>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80"/>
    </row>
    <row r="42" spans="2:39" ht="10.15" customHeight="1">
      <c r="B42" s="6"/>
      <c r="AM42" s="14"/>
    </row>
    <row r="43" spans="2:39" ht="15">
      <c r="B43" s="6"/>
      <c r="C43" s="265" t="s">
        <v>213</v>
      </c>
      <c r="D43" s="265"/>
      <c r="E43" s="265"/>
      <c r="F43" s="265"/>
      <c r="G43" s="265"/>
      <c r="H43" s="303">
        <v>60000000</v>
      </c>
      <c r="I43" s="303"/>
      <c r="J43" s="303"/>
      <c r="K43" s="303"/>
      <c r="L43" s="303"/>
      <c r="M43" s="274" t="s">
        <v>214</v>
      </c>
      <c r="N43" s="274"/>
      <c r="P43" s="265" t="s">
        <v>215</v>
      </c>
      <c r="Q43" s="265"/>
      <c r="R43" s="265"/>
      <c r="S43" s="265"/>
      <c r="T43" s="265"/>
      <c r="U43" s="265"/>
      <c r="V43" s="304">
        <v>12</v>
      </c>
      <c r="W43" s="304"/>
      <c r="X43" s="265" t="s">
        <v>216</v>
      </c>
      <c r="Y43" s="265"/>
      <c r="Z43" s="265" t="s">
        <v>217</v>
      </c>
      <c r="AA43" s="265"/>
      <c r="AB43" s="265"/>
      <c r="AC43" s="265"/>
      <c r="AD43" s="265"/>
      <c r="AE43" s="265"/>
      <c r="AF43" s="265"/>
      <c r="AG43" s="265"/>
      <c r="AH43" s="265"/>
      <c r="AI43" s="305" t="s">
        <v>27</v>
      </c>
      <c r="AJ43" s="306"/>
      <c r="AK43" s="306"/>
      <c r="AL43" s="307"/>
      <c r="AM43" s="14"/>
    </row>
    <row r="44" spans="2:39">
      <c r="B44" s="6"/>
      <c r="AM44" s="14"/>
    </row>
    <row r="45" spans="2:39" s="153" customFormat="1" ht="18.399999999999999" customHeight="1">
      <c r="B45" s="163"/>
      <c r="C45" s="308" t="s">
        <v>218</v>
      </c>
      <c r="D45" s="308"/>
      <c r="E45" s="308"/>
      <c r="F45" s="308"/>
      <c r="G45" s="309">
        <v>3</v>
      </c>
      <c r="H45" s="310"/>
      <c r="I45" s="310"/>
      <c r="J45" s="310"/>
      <c r="K45" s="260" t="s">
        <v>219</v>
      </c>
      <c r="L45" s="260"/>
      <c r="M45" s="260"/>
      <c r="N45" s="260"/>
      <c r="O45" s="260"/>
      <c r="P45" s="260"/>
      <c r="Q45" s="304"/>
      <c r="R45" s="304"/>
      <c r="S45" s="174" t="s">
        <v>216</v>
      </c>
      <c r="U45" s="260" t="s">
        <v>220</v>
      </c>
      <c r="V45" s="260"/>
      <c r="W45" s="260"/>
      <c r="X45" s="260"/>
      <c r="Y45" s="260"/>
      <c r="Z45" s="260"/>
      <c r="AA45" s="311">
        <v>12</v>
      </c>
      <c r="AB45" s="311"/>
      <c r="AC45" s="260" t="s">
        <v>221</v>
      </c>
      <c r="AD45" s="260"/>
      <c r="AE45" s="260"/>
      <c r="AF45" s="260"/>
      <c r="AG45" s="260"/>
      <c r="AH45" s="312">
        <v>71700000</v>
      </c>
      <c r="AI45" s="312"/>
      <c r="AJ45" s="312"/>
      <c r="AK45" s="312"/>
      <c r="AL45" s="312"/>
      <c r="AM45" s="184"/>
    </row>
    <row r="46" spans="2:39">
      <c r="B46" s="6"/>
      <c r="AF46" s="179"/>
      <c r="AG46" s="179"/>
      <c r="AH46" s="313" t="s">
        <v>222</v>
      </c>
      <c r="AI46" s="313"/>
      <c r="AJ46" s="313"/>
      <c r="AK46" s="313"/>
      <c r="AL46" s="313"/>
      <c r="AM46" s="14"/>
    </row>
    <row r="47" spans="2:39" ht="15">
      <c r="B47" s="6"/>
      <c r="C47" s="265" t="s">
        <v>223</v>
      </c>
      <c r="D47" s="265"/>
      <c r="E47" s="265"/>
      <c r="F47" s="265"/>
      <c r="G47" s="265"/>
      <c r="H47" s="265"/>
      <c r="I47" s="320" t="s">
        <v>224</v>
      </c>
      <c r="J47" s="321"/>
      <c r="K47" s="321"/>
      <c r="L47" s="321"/>
      <c r="M47" s="321"/>
      <c r="N47" s="321"/>
      <c r="O47" s="321"/>
      <c r="P47" s="321"/>
      <c r="Q47" s="321"/>
      <c r="R47" s="322"/>
      <c r="T47" s="274" t="s">
        <v>225</v>
      </c>
      <c r="U47" s="274"/>
      <c r="V47" s="274"/>
      <c r="W47" s="274"/>
      <c r="X47" s="274"/>
      <c r="Y47" s="274"/>
      <c r="Z47" s="274"/>
      <c r="AA47" s="328" t="s">
        <v>431</v>
      </c>
      <c r="AB47" s="328"/>
      <c r="AC47" s="328"/>
      <c r="AD47" s="328"/>
      <c r="AE47" s="328"/>
      <c r="AF47" s="328"/>
      <c r="AG47" s="328"/>
      <c r="AH47" s="328"/>
      <c r="AI47" s="328"/>
      <c r="AJ47" s="328"/>
      <c r="AK47" s="328"/>
      <c r="AL47" s="328"/>
      <c r="AM47" s="14"/>
    </row>
    <row r="48" spans="2:39" ht="14.65" customHeight="1">
      <c r="B48" s="6"/>
      <c r="AA48" s="328"/>
      <c r="AB48" s="328"/>
      <c r="AC48" s="328"/>
      <c r="AD48" s="328"/>
      <c r="AE48" s="328"/>
      <c r="AF48" s="328"/>
      <c r="AG48" s="328"/>
      <c r="AH48" s="328"/>
      <c r="AI48" s="328"/>
      <c r="AJ48" s="328"/>
      <c r="AK48" s="328"/>
      <c r="AL48" s="328"/>
      <c r="AM48" s="14"/>
    </row>
    <row r="49" spans="2:39" ht="15">
      <c r="B49" s="6"/>
      <c r="C49" s="162" t="s">
        <v>226</v>
      </c>
      <c r="G49" s="164"/>
      <c r="I49" s="274" t="s">
        <v>228</v>
      </c>
      <c r="J49" s="274"/>
      <c r="K49" s="274"/>
      <c r="L49" s="274"/>
      <c r="M49" s="274"/>
      <c r="O49" s="164" t="s">
        <v>227</v>
      </c>
      <c r="Q49" s="274" t="s">
        <v>229</v>
      </c>
      <c r="R49" s="274"/>
      <c r="S49" s="274"/>
      <c r="T49" s="274"/>
      <c r="U49" s="274"/>
      <c r="V49" s="323">
        <v>3</v>
      </c>
      <c r="W49" s="323"/>
      <c r="AA49" s="328"/>
      <c r="AB49" s="328"/>
      <c r="AC49" s="328"/>
      <c r="AD49" s="328"/>
      <c r="AE49" s="328"/>
      <c r="AF49" s="328"/>
      <c r="AG49" s="328"/>
      <c r="AH49" s="328"/>
      <c r="AI49" s="328"/>
      <c r="AJ49" s="328"/>
      <c r="AK49" s="328"/>
      <c r="AL49" s="328"/>
      <c r="AM49" s="14"/>
    </row>
    <row r="50" spans="2:39" ht="9.6" customHeight="1">
      <c r="B50" s="9"/>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5"/>
    </row>
    <row r="52" spans="2:39" ht="18.75">
      <c r="B52" s="4" t="s">
        <v>230</v>
      </c>
      <c r="C52" s="302" t="s">
        <v>231</v>
      </c>
      <c r="D52" s="302"/>
      <c r="E52" s="302"/>
      <c r="F52" s="302"/>
      <c r="G52" s="302"/>
      <c r="H52" s="302"/>
      <c r="I52" s="302"/>
      <c r="J52" s="302"/>
      <c r="K52" s="302"/>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80"/>
    </row>
    <row r="53" spans="2:39">
      <c r="B53" s="6"/>
      <c r="AM53" s="14"/>
    </row>
    <row r="54" spans="2:39" ht="18" customHeight="1">
      <c r="B54" s="165"/>
      <c r="C54" s="324" t="s">
        <v>232</v>
      </c>
      <c r="D54" s="324"/>
      <c r="E54" s="324"/>
      <c r="F54" s="324"/>
      <c r="G54" s="324"/>
      <c r="H54" s="324"/>
      <c r="I54" s="324"/>
      <c r="J54" s="324" t="s">
        <v>233</v>
      </c>
      <c r="K54" s="324"/>
      <c r="L54" s="324"/>
      <c r="M54" s="324"/>
      <c r="N54" s="324"/>
      <c r="O54" s="324"/>
      <c r="P54" s="324"/>
      <c r="Q54" s="324"/>
      <c r="R54" s="324"/>
      <c r="S54" s="324"/>
      <c r="T54" s="324"/>
      <c r="U54" s="324"/>
      <c r="V54" s="324"/>
      <c r="W54" s="324"/>
      <c r="X54" s="324"/>
      <c r="Y54" s="324"/>
      <c r="Z54" s="324" t="s">
        <v>234</v>
      </c>
      <c r="AA54" s="324"/>
      <c r="AB54" s="324"/>
      <c r="AC54" s="324"/>
      <c r="AD54" s="324"/>
      <c r="AE54" s="324"/>
      <c r="AF54" s="324"/>
      <c r="AG54" s="324" t="s">
        <v>235</v>
      </c>
      <c r="AH54" s="324"/>
      <c r="AI54" s="324"/>
      <c r="AJ54" s="324"/>
      <c r="AK54" s="324"/>
      <c r="AL54" s="324"/>
      <c r="AM54" s="14"/>
    </row>
    <row r="55" spans="2:39" ht="15">
      <c r="B55" s="6"/>
      <c r="C55" s="330" t="s">
        <v>236</v>
      </c>
      <c r="D55" s="331"/>
      <c r="E55" s="331"/>
      <c r="F55" s="331"/>
      <c r="G55" s="331"/>
      <c r="H55" s="331"/>
      <c r="I55" s="332"/>
      <c r="J55" s="314" t="s">
        <v>237</v>
      </c>
      <c r="K55" s="315"/>
      <c r="L55" s="315"/>
      <c r="M55" s="315"/>
      <c r="N55" s="315"/>
      <c r="O55" s="315"/>
      <c r="P55" s="315"/>
      <c r="Q55" s="315"/>
      <c r="R55" s="315"/>
      <c r="S55" s="315"/>
      <c r="T55" s="315"/>
      <c r="U55" s="315"/>
      <c r="V55" s="315"/>
      <c r="W55" s="315"/>
      <c r="X55" s="315"/>
      <c r="Y55" s="316"/>
      <c r="Z55" s="317"/>
      <c r="AA55" s="318"/>
      <c r="AB55" s="318"/>
      <c r="AC55" s="318"/>
      <c r="AD55" s="318"/>
      <c r="AE55" s="318"/>
      <c r="AF55" s="319"/>
      <c r="AG55" s="317"/>
      <c r="AH55" s="318"/>
      <c r="AI55" s="318"/>
      <c r="AJ55" s="318"/>
      <c r="AK55" s="318"/>
      <c r="AL55" s="319"/>
      <c r="AM55" s="14"/>
    </row>
    <row r="56" spans="2:39" ht="15">
      <c r="B56" s="6"/>
      <c r="C56" s="330" t="s">
        <v>238</v>
      </c>
      <c r="D56" s="331"/>
      <c r="E56" s="331"/>
      <c r="F56" s="331"/>
      <c r="G56" s="331"/>
      <c r="H56" s="331"/>
      <c r="I56" s="332"/>
      <c r="J56" s="314"/>
      <c r="K56" s="315"/>
      <c r="L56" s="315"/>
      <c r="M56" s="315"/>
      <c r="N56" s="315"/>
      <c r="O56" s="315"/>
      <c r="P56" s="315"/>
      <c r="Q56" s="315"/>
      <c r="R56" s="315"/>
      <c r="S56" s="315"/>
      <c r="T56" s="315"/>
      <c r="U56" s="315"/>
      <c r="V56" s="315"/>
      <c r="W56" s="315"/>
      <c r="X56" s="315"/>
      <c r="Y56" s="316"/>
      <c r="Z56" s="317"/>
      <c r="AA56" s="318"/>
      <c r="AB56" s="318"/>
      <c r="AC56" s="318"/>
      <c r="AD56" s="318"/>
      <c r="AE56" s="318"/>
      <c r="AF56" s="319"/>
      <c r="AG56" s="317"/>
      <c r="AH56" s="318"/>
      <c r="AI56" s="318"/>
      <c r="AJ56" s="318"/>
      <c r="AK56" s="318"/>
      <c r="AL56" s="319"/>
      <c r="AM56" s="14"/>
    </row>
    <row r="57" spans="2:39" ht="15">
      <c r="B57" s="6"/>
      <c r="C57" s="330" t="s">
        <v>239</v>
      </c>
      <c r="D57" s="331"/>
      <c r="E57" s="331"/>
      <c r="F57" s="331"/>
      <c r="G57" s="331"/>
      <c r="H57" s="331"/>
      <c r="I57" s="332"/>
      <c r="J57" s="314" t="s">
        <v>460</v>
      </c>
      <c r="K57" s="315"/>
      <c r="L57" s="315"/>
      <c r="M57" s="315"/>
      <c r="N57" s="315"/>
      <c r="O57" s="315"/>
      <c r="P57" s="315"/>
      <c r="Q57" s="315"/>
      <c r="R57" s="315"/>
      <c r="S57" s="315"/>
      <c r="T57" s="315"/>
      <c r="U57" s="315"/>
      <c r="V57" s="315"/>
      <c r="W57" s="315"/>
      <c r="X57" s="315"/>
      <c r="Y57" s="316"/>
      <c r="Z57" s="317">
        <v>20000000</v>
      </c>
      <c r="AA57" s="318"/>
      <c r="AB57" s="318"/>
      <c r="AC57" s="318"/>
      <c r="AD57" s="318"/>
      <c r="AE57" s="318"/>
      <c r="AF57" s="319"/>
      <c r="AG57" s="317">
        <v>100000000</v>
      </c>
      <c r="AH57" s="318"/>
      <c r="AI57" s="318"/>
      <c r="AJ57" s="318"/>
      <c r="AK57" s="318"/>
      <c r="AL57" s="319"/>
      <c r="AM57" s="14"/>
    </row>
    <row r="58" spans="2:39" ht="15">
      <c r="B58" s="6"/>
      <c r="C58" s="330" t="s">
        <v>240</v>
      </c>
      <c r="D58" s="331"/>
      <c r="E58" s="331"/>
      <c r="F58" s="331"/>
      <c r="G58" s="331"/>
      <c r="H58" s="331"/>
      <c r="I58" s="332"/>
      <c r="J58" s="314" t="s">
        <v>432</v>
      </c>
      <c r="K58" s="315"/>
      <c r="L58" s="315"/>
      <c r="M58" s="315"/>
      <c r="N58" s="315"/>
      <c r="O58" s="315"/>
      <c r="P58" s="315"/>
      <c r="Q58" s="315"/>
      <c r="R58" s="315"/>
      <c r="S58" s="315"/>
      <c r="T58" s="315"/>
      <c r="U58" s="315"/>
      <c r="V58" s="315"/>
      <c r="W58" s="315"/>
      <c r="X58" s="315"/>
      <c r="Y58" s="316"/>
      <c r="Z58" s="317">
        <v>6000000</v>
      </c>
      <c r="AA58" s="318"/>
      <c r="AB58" s="318"/>
      <c r="AC58" s="318"/>
      <c r="AD58" s="318"/>
      <c r="AE58" s="318"/>
      <c r="AF58" s="319"/>
      <c r="AG58" s="317">
        <v>6000000</v>
      </c>
      <c r="AH58" s="318"/>
      <c r="AI58" s="318"/>
      <c r="AJ58" s="318"/>
      <c r="AK58" s="318"/>
      <c r="AL58" s="319"/>
      <c r="AM58" s="14"/>
    </row>
    <row r="59" spans="2:39" ht="15">
      <c r="B59" s="6"/>
      <c r="C59" s="333" t="s">
        <v>172</v>
      </c>
      <c r="D59" s="334"/>
      <c r="E59" s="334"/>
      <c r="F59" s="334"/>
      <c r="G59" s="334"/>
      <c r="H59" s="334"/>
      <c r="I59" s="334"/>
      <c r="J59" s="334"/>
      <c r="K59" s="334"/>
      <c r="L59" s="334"/>
      <c r="M59" s="334"/>
      <c r="N59" s="334"/>
      <c r="O59" s="334"/>
      <c r="P59" s="334"/>
      <c r="Q59" s="334"/>
      <c r="R59" s="334"/>
      <c r="S59" s="334"/>
      <c r="T59" s="334"/>
      <c r="U59" s="334"/>
      <c r="V59" s="334"/>
      <c r="W59" s="334"/>
      <c r="X59" s="334"/>
      <c r="Y59" s="334"/>
      <c r="Z59" s="334"/>
      <c r="AA59" s="334"/>
      <c r="AB59" s="334"/>
      <c r="AC59" s="334"/>
      <c r="AD59" s="334"/>
      <c r="AE59" s="334"/>
      <c r="AF59" s="335"/>
      <c r="AG59" s="336">
        <f>AG55+AG56+AG57+AG58</f>
        <v>106000000</v>
      </c>
      <c r="AH59" s="337"/>
      <c r="AI59" s="337"/>
      <c r="AJ59" s="337"/>
      <c r="AK59" s="337"/>
      <c r="AL59" s="338"/>
      <c r="AM59" s="14"/>
    </row>
    <row r="60" spans="2:39">
      <c r="B60" s="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5"/>
    </row>
    <row r="62" spans="2:39">
      <c r="D62" s="325" t="s">
        <v>241</v>
      </c>
      <c r="E62" s="325"/>
      <c r="F62" s="325"/>
      <c r="G62" s="325"/>
      <c r="H62" s="325"/>
      <c r="I62" s="325"/>
      <c r="J62" s="325"/>
      <c r="K62" s="325"/>
      <c r="L62" s="325"/>
      <c r="AD62" s="326" t="s">
        <v>241</v>
      </c>
      <c r="AE62" s="326"/>
      <c r="AF62" s="326"/>
      <c r="AG62" s="326"/>
      <c r="AH62" s="326"/>
      <c r="AI62" s="326"/>
      <c r="AJ62" s="326"/>
      <c r="AK62" s="326"/>
      <c r="AL62" s="326"/>
      <c r="AM62" s="326"/>
    </row>
    <row r="63" spans="2:39">
      <c r="D63" s="326" t="s">
        <v>242</v>
      </c>
      <c r="E63" s="326"/>
      <c r="F63" s="326"/>
      <c r="G63" s="326"/>
      <c r="H63" s="326"/>
      <c r="I63" s="326"/>
      <c r="J63" s="326"/>
      <c r="K63" s="172"/>
      <c r="L63" s="172"/>
      <c r="AF63" s="326" t="s">
        <v>243</v>
      </c>
      <c r="AG63" s="326"/>
      <c r="AH63" s="326"/>
      <c r="AI63" s="326"/>
      <c r="AJ63" s="326"/>
      <c r="AK63" s="326"/>
    </row>
    <row r="64" spans="2:39">
      <c r="C64" s="327"/>
      <c r="D64" s="327"/>
      <c r="E64" s="327"/>
      <c r="F64" s="327"/>
      <c r="G64" s="327"/>
      <c r="H64" s="327"/>
      <c r="I64" s="327"/>
      <c r="J64" s="327"/>
      <c r="K64" s="327"/>
      <c r="L64" s="327"/>
      <c r="M64" s="327"/>
      <c r="AD64" s="327"/>
      <c r="AE64" s="327"/>
      <c r="AF64" s="327"/>
      <c r="AG64" s="327"/>
      <c r="AH64" s="327"/>
      <c r="AI64" s="327"/>
      <c r="AJ64" s="327"/>
      <c r="AK64" s="327"/>
      <c r="AL64" s="327"/>
      <c r="AM64" s="327"/>
    </row>
    <row r="65" spans="3:39">
      <c r="C65" s="327"/>
      <c r="D65" s="327"/>
      <c r="E65" s="327"/>
      <c r="F65" s="327"/>
      <c r="G65" s="327"/>
      <c r="H65" s="327"/>
      <c r="I65" s="327"/>
      <c r="J65" s="327"/>
      <c r="K65" s="327"/>
      <c r="L65" s="327"/>
      <c r="M65" s="327"/>
      <c r="AD65" s="327"/>
      <c r="AE65" s="327"/>
      <c r="AF65" s="327"/>
      <c r="AG65" s="327"/>
      <c r="AH65" s="327"/>
      <c r="AI65" s="327"/>
      <c r="AJ65" s="327"/>
      <c r="AK65" s="327"/>
      <c r="AL65" s="327"/>
      <c r="AM65" s="327"/>
    </row>
    <row r="66" spans="3:39">
      <c r="C66" s="327"/>
      <c r="D66" s="327"/>
      <c r="E66" s="327"/>
      <c r="F66" s="327"/>
      <c r="G66" s="327"/>
      <c r="H66" s="327"/>
      <c r="I66" s="327"/>
      <c r="J66" s="327"/>
      <c r="K66" s="327"/>
      <c r="L66" s="327"/>
      <c r="M66" s="327"/>
      <c r="AD66" s="327"/>
      <c r="AE66" s="327"/>
      <c r="AF66" s="327"/>
      <c r="AG66" s="327"/>
      <c r="AH66" s="327"/>
      <c r="AI66" s="327"/>
      <c r="AJ66" s="327"/>
      <c r="AK66" s="327"/>
      <c r="AL66" s="327"/>
      <c r="AM66" s="327"/>
    </row>
  </sheetData>
  <sheetProtection algorithmName="SHA-512" hashValue="GldNk7BNYV96CzbXBOHDkAEcszMWnpRYA6jqRoFalb51X7CMZh+WSsQ/GQYntzxmlBHCENRYvl2XREB+eh1yGg==" saltValue="eJrsS8wp20139e2MBB7ZuA==" spinCount="100000" sheet="1" objects="1" scenarios="1" selectLockedCells="1"/>
  <mergeCells count="107">
    <mergeCell ref="D62:L62"/>
    <mergeCell ref="AD62:AM62"/>
    <mergeCell ref="D63:J63"/>
    <mergeCell ref="AF63:AK63"/>
    <mergeCell ref="C64:M66"/>
    <mergeCell ref="AD64:AM66"/>
    <mergeCell ref="AA47:AL49"/>
    <mergeCell ref="X33:AL34"/>
    <mergeCell ref="C57:I57"/>
    <mergeCell ref="J57:Y57"/>
    <mergeCell ref="Z57:AF57"/>
    <mergeCell ref="AG57:AL57"/>
    <mergeCell ref="C58:I58"/>
    <mergeCell ref="J58:Y58"/>
    <mergeCell ref="Z58:AF58"/>
    <mergeCell ref="AG58:AL58"/>
    <mergeCell ref="C59:AF59"/>
    <mergeCell ref="AG59:AL59"/>
    <mergeCell ref="AG54:AL54"/>
    <mergeCell ref="C55:I55"/>
    <mergeCell ref="J55:Y55"/>
    <mergeCell ref="Z55:AF55"/>
    <mergeCell ref="AG55:AL55"/>
    <mergeCell ref="C56:I56"/>
    <mergeCell ref="J56:Y56"/>
    <mergeCell ref="Z56:AF56"/>
    <mergeCell ref="AG56:AL56"/>
    <mergeCell ref="C47:H47"/>
    <mergeCell ref="I47:R47"/>
    <mergeCell ref="T47:Z47"/>
    <mergeCell ref="I49:M49"/>
    <mergeCell ref="Q49:U49"/>
    <mergeCell ref="V49:W49"/>
    <mergeCell ref="C52:K52"/>
    <mergeCell ref="C54:I54"/>
    <mergeCell ref="J54:Y54"/>
    <mergeCell ref="Z54:AF54"/>
    <mergeCell ref="C45:F45"/>
    <mergeCell ref="G45:J45"/>
    <mergeCell ref="K45:P45"/>
    <mergeCell ref="Q45:R45"/>
    <mergeCell ref="U45:Z45"/>
    <mergeCell ref="AA45:AB45"/>
    <mergeCell ref="AC45:AG45"/>
    <mergeCell ref="AH45:AL45"/>
    <mergeCell ref="AH46:AL46"/>
    <mergeCell ref="C41:K41"/>
    <mergeCell ref="C43:G43"/>
    <mergeCell ref="H43:L43"/>
    <mergeCell ref="M43:N43"/>
    <mergeCell ref="P43:U43"/>
    <mergeCell ref="V43:W43"/>
    <mergeCell ref="X43:Y43"/>
    <mergeCell ref="Z43:AH43"/>
    <mergeCell ref="AI43:AL43"/>
    <mergeCell ref="C31:I31"/>
    <mergeCell ref="J31:AL31"/>
    <mergeCell ref="C33:J33"/>
    <mergeCell ref="L33:M33"/>
    <mergeCell ref="P33:W33"/>
    <mergeCell ref="C34:M34"/>
    <mergeCell ref="C36:F36"/>
    <mergeCell ref="G36:AL36"/>
    <mergeCell ref="C38:F38"/>
    <mergeCell ref="G38:M38"/>
    <mergeCell ref="K22:AL22"/>
    <mergeCell ref="O23:Z23"/>
    <mergeCell ref="C24:J24"/>
    <mergeCell ref="K24:M24"/>
    <mergeCell ref="P24:U24"/>
    <mergeCell ref="V24:Z24"/>
    <mergeCell ref="C27:L27"/>
    <mergeCell ref="C29:F29"/>
    <mergeCell ref="G29:L29"/>
    <mergeCell ref="M29:Q29"/>
    <mergeCell ref="R29:X29"/>
    <mergeCell ref="AT16:AU16"/>
    <mergeCell ref="AC17:AE17"/>
    <mergeCell ref="C18:H18"/>
    <mergeCell ref="I18:M18"/>
    <mergeCell ref="O18:X18"/>
    <mergeCell ref="AJ18:AK18"/>
    <mergeCell ref="C20:J20"/>
    <mergeCell ref="K20:AL20"/>
    <mergeCell ref="K21:AL21"/>
    <mergeCell ref="H13:Z13"/>
    <mergeCell ref="C14:I14"/>
    <mergeCell ref="J14:S14"/>
    <mergeCell ref="T14:X14"/>
    <mergeCell ref="Y14:AL14"/>
    <mergeCell ref="C16:I16"/>
    <mergeCell ref="N16:O16"/>
    <mergeCell ref="Q16:W16"/>
    <mergeCell ref="Y16:Z16"/>
    <mergeCell ref="AA16:AF16"/>
    <mergeCell ref="C3:E3"/>
    <mergeCell ref="J3:AE3"/>
    <mergeCell ref="Z5:AC5"/>
    <mergeCell ref="AD5:AL5"/>
    <mergeCell ref="C7:H7"/>
    <mergeCell ref="M7:N7"/>
    <mergeCell ref="Y7:AC7"/>
    <mergeCell ref="AD7:AL7"/>
    <mergeCell ref="C12:G12"/>
    <mergeCell ref="H12:Z12"/>
    <mergeCell ref="AB12:AG12"/>
    <mergeCell ref="AH12:AL12"/>
  </mergeCells>
  <dataValidations count="26">
    <dataValidation type="whole" allowBlank="1" showInputMessage="1" showErrorMessage="1" errorTitle="Crédit Rural de Guinée" error="Date (jour)" sqref="I7 J16">
      <formula1>1</formula1>
      <formula2>31</formula2>
    </dataValidation>
    <dataValidation type="whole" allowBlank="1" showInputMessage="1" showErrorMessage="1" errorTitle="Crédit Rural de Guinée" error="Date (mois)" sqref="K7 L16">
      <formula1>1</formula1>
      <formula2>12</formula2>
    </dataValidation>
    <dataValidation type="whole" allowBlank="1" showInputMessage="1" showErrorMessage="1" errorTitle="Crédit Rural de Guinée" error="Date (année)" sqref="M7:N7">
      <formula1>2024</formula1>
      <formula2>2099</formula2>
    </dataValidation>
    <dataValidation type="list" allowBlank="1" showInputMessage="1" showErrorMessage="1" prompt="Choisir le type de pièce d'identité" sqref="J14:S14">
      <formula1>"Carte Nationale d'identité,Carte d'Identité Biométrique,Possession d'État,Carte d'Identification Personnelle,Passeport,Autre"</formula1>
    </dataValidation>
    <dataValidation type="list" allowBlank="1" showInputMessage="1" showErrorMessage="1" prompt="Choisir le type de pièce d'identité" sqref="J15">
      <formula1>"Carte Nationale d'identité,Carte d'Identité Biométrique,Carte d'Identification Personnelle,Passeport,Autre"</formula1>
    </dataValidation>
    <dataValidation type="whole" allowBlank="1" showInputMessage="1" showErrorMessage="1" errorTitle="Crédit Rural de Guinée" error="Date (année)" sqref="N16:O16">
      <formula1>1900</formula1>
      <formula2>2099</formula2>
    </dataValidation>
    <dataValidation type="list" allowBlank="1" showInputMessage="1" showErrorMessage="1" sqref="AA16:AF16">
      <formula1>"Femme,Homme"</formula1>
    </dataValidation>
    <dataValidation type="list" allowBlank="1" showInputMessage="1" showErrorMessage="1" sqref="I18:M18">
      <formula1>"Célibataire,Concubinage,Fiancé(e ),Marié (e),Divorcé(e ),Veuf(ve),Autre"</formula1>
    </dataValidation>
    <dataValidation type="whole" allowBlank="1" showInputMessage="1" showErrorMessage="1" errorTitle="Crédit Rural de Guinée" error="Nombre de personnes à charge" sqref="Y18">
      <formula1>0</formula1>
      <formula2>99</formula2>
    </dataValidation>
    <dataValidation type="whole" allowBlank="1" showInputMessage="1" showErrorMessage="1" errorTitle="Crédit Rural de Guinée" error="Nombre d'enfants scolarisés" sqref="AJ18:AK18">
      <formula1>0</formula1>
      <formula2>99</formula2>
    </dataValidation>
    <dataValidation type="whole" allowBlank="1" showInputMessage="1" showErrorMessage="1" errorTitle="Crédit Rural de Guinée" error="Nombre d'années à l'adresse" sqref="K24:M24">
      <formula1>0</formula1>
      <formula2>100</formula2>
    </dataValidation>
    <dataValidation type="list" allowBlank="1" showInputMessage="1" showErrorMessage="1" sqref="V24:Z24">
      <formula1>"Location,Propriétaire,Familiale"</formula1>
    </dataValidation>
    <dataValidation type="list" allowBlank="1" showInputMessage="1" showErrorMessage="1" sqref="G29:L29">
      <formula1>Activites1</formula1>
    </dataValidation>
    <dataValidation type="list" allowBlank="1" showInputMessage="1" showErrorMessage="1" sqref="R29:X29">
      <formula1>INDIRECT($G$29)</formula1>
    </dataValidation>
    <dataValidation type="whole" allowBlank="1" showInputMessage="1" showErrorMessage="1" errorTitle="Crédit Rural de Guinée" error="Nombre d'années dans l'activité" sqref="L33:M33">
      <formula1>0</formula1>
      <formula2>100</formula2>
    </dataValidation>
    <dataValidation type="whole" allowBlank="1" showInputMessage="1" showErrorMessage="1" errorTitle="Crédit Rural de Guinée" error="Le montant de crédit sollicité" sqref="H43:L43">
      <formula1>100000</formula1>
      <formula2>1000000000000</formula2>
    </dataValidation>
    <dataValidation type="whole" allowBlank="1" showInputMessage="1" showErrorMessage="1" sqref="V43:W43">
      <formula1>1</formula1>
      <formula2>120</formula2>
    </dataValidation>
    <dataValidation type="list" allowBlank="1" showInputMessage="1" showErrorMessage="1" sqref="AI43:AL43">
      <formula1>Periodicite</formula1>
    </dataValidation>
    <dataValidation type="whole" allowBlank="1" showInputMessage="1" showErrorMessage="1" errorTitle="Crédit Rural de Guinée" error="Péridoe de différé" sqref="Q45:R45">
      <formula1>0</formula1>
      <formula2>24</formula2>
    </dataValidation>
    <dataValidation type="whole" allowBlank="1" showInputMessage="1" showErrorMessage="1" errorTitle="Crédit Rural de Guinée" error="Nombre d'échéance" sqref="AA45:AB45">
      <formula1>1</formula1>
      <formula2>60</formula2>
    </dataValidation>
    <dataValidation type="whole" allowBlank="1" showInputMessage="1" showErrorMessage="1" errorTitle="Crédit Rural de Guinée" error="Montant de l'échéance" sqref="AH45:AL45">
      <formula1>10000</formula1>
      <formula2>1000000000000</formula2>
    </dataValidation>
    <dataValidation type="list" allowBlank="1" showInputMessage="1" showErrorMessage="1" sqref="I47:R47">
      <formula1>"Fonds de roulement, Investissement, Invest+Fonds de roulement,Fonds de roulement,Bon de commande"</formula1>
    </dataValidation>
    <dataValidation type="list" allowBlank="1" showInputMessage="1" showErrorMessage="1" errorTitle="Crédit Rural de Guinée" error="Mettez &quot;X&quot; si c'est un nouveau crédit" sqref="G49">
      <formula1>"X"</formula1>
    </dataValidation>
    <dataValidation type="list" allowBlank="1" showInputMessage="1" showErrorMessage="1" errorTitle="Crédit Rural de Guinée" error="Mettez &quot;X&quot; si c'est un renouvellement de crédit" sqref="O49">
      <formula1>"X"</formula1>
    </dataValidation>
    <dataValidation type="whole" allowBlank="1" showInputMessage="1" showErrorMessage="1" errorTitle="Crédit Rural de Guinée" error="Rang de crédit" sqref="V49:W49">
      <formula1>1</formula1>
      <formula2>100</formula2>
    </dataValidation>
    <dataValidation type="whole" operator="greaterThan" allowBlank="1" showInputMessage="1" showErrorMessage="1" errorTitle="Crédit Rural de Guinée" error="Valeur de la garantie ou Valeur d'emprunt" sqref="Z55:AL58">
      <formula1>100000</formula1>
    </dataValidation>
  </dataValidations>
  <pageMargins left="0.31496062992126" right="0.31496062992126" top="0.74803149606299202" bottom="0.74803149606299202" header="0.31496062992126" footer="0.31496062992126"/>
  <pageSetup paperSize="9" scale="62" orientation="landscape" r:id="rId1"/>
  <headerFooter>
    <oddHeader>&amp;L&amp;F</oddHeader>
    <oddFooter>&amp;LCrédit Rural de Guinée</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tabColor rgb="FFFF0000"/>
  </sheetPr>
  <dimension ref="A1:V307"/>
  <sheetViews>
    <sheetView showGridLines="0" showRowColHeaders="0" topLeftCell="A97" zoomScale="110" zoomScaleNormal="110" workbookViewId="0">
      <selection activeCell="J117" sqref="J117:L117"/>
    </sheetView>
  </sheetViews>
  <sheetFormatPr baseColWidth="10" defaultColWidth="10.875" defaultRowHeight="13.5"/>
  <cols>
    <col min="1" max="1" width="10.875" style="107"/>
    <col min="2" max="2" width="10.875" style="2"/>
    <col min="3" max="3" width="6.875" style="2" customWidth="1"/>
    <col min="4" max="4" width="7.25" style="2" customWidth="1"/>
    <col min="5" max="13" width="6.5" style="2" customWidth="1"/>
    <col min="14" max="14" width="7" style="2" customWidth="1"/>
    <col min="15" max="15" width="9.125" style="2" customWidth="1"/>
    <col min="16" max="16" width="7.75" style="2" customWidth="1"/>
    <col min="17" max="17" width="6.5" style="2" customWidth="1"/>
    <col min="18" max="18" width="6.875" style="2" customWidth="1"/>
    <col min="19" max="19" width="6.5" style="2" customWidth="1"/>
    <col min="20" max="20" width="9.5" style="2" customWidth="1"/>
    <col min="21" max="21" width="0.875" style="108" customWidth="1"/>
    <col min="22" max="16384" width="10.875" style="2"/>
  </cols>
  <sheetData>
    <row r="1" spans="1:21" s="106" customFormat="1">
      <c r="A1" s="109"/>
      <c r="B1" s="339" t="s">
        <v>244</v>
      </c>
      <c r="C1" s="339"/>
      <c r="D1" s="339"/>
      <c r="E1" s="339"/>
      <c r="F1" s="339"/>
      <c r="G1" s="339"/>
      <c r="H1" s="339"/>
      <c r="I1" s="339"/>
      <c r="J1" s="339"/>
      <c r="K1" s="339"/>
      <c r="L1" s="339"/>
      <c r="M1" s="339"/>
      <c r="N1" s="339"/>
      <c r="O1" s="339"/>
      <c r="P1" s="339"/>
      <c r="Q1" s="339"/>
      <c r="R1" s="339"/>
      <c r="S1" s="339"/>
      <c r="T1" s="340"/>
      <c r="U1" s="136"/>
    </row>
    <row r="3" spans="1:21">
      <c r="B3" s="341" t="s">
        <v>245</v>
      </c>
      <c r="C3" s="341"/>
      <c r="D3" s="342">
        <v>46038</v>
      </c>
      <c r="E3" s="343"/>
      <c r="F3" s="344" t="s">
        <v>246</v>
      </c>
      <c r="G3" s="345"/>
      <c r="H3" s="345"/>
      <c r="I3" s="346" t="str">
        <f>IF(Demande!H12="","",Demande!H12)</f>
        <v>BARRY AISSATOU BOBO</v>
      </c>
      <c r="J3" s="347"/>
      <c r="K3" s="347"/>
      <c r="L3" s="347"/>
      <c r="M3" s="347"/>
      <c r="N3" s="347"/>
      <c r="O3" s="348"/>
      <c r="P3" s="344" t="s">
        <v>247</v>
      </c>
      <c r="Q3" s="345"/>
      <c r="R3" s="349">
        <f>IF(Demande!AH12="","",Demande!AH12)</f>
        <v>95240025289</v>
      </c>
      <c r="S3" s="350"/>
      <c r="T3" s="351"/>
    </row>
    <row r="5" spans="1:21" s="3" customFormat="1">
      <c r="A5" s="110" t="s">
        <v>184</v>
      </c>
      <c r="B5" s="352" t="s">
        <v>248</v>
      </c>
      <c r="C5" s="352"/>
      <c r="D5" s="352"/>
      <c r="E5" s="352"/>
      <c r="F5" s="352"/>
      <c r="G5" s="352"/>
      <c r="H5" s="111"/>
      <c r="I5" s="111"/>
      <c r="J5" s="111"/>
      <c r="K5" s="111"/>
      <c r="L5" s="111"/>
      <c r="M5" s="111"/>
      <c r="N5" s="111"/>
      <c r="O5" s="111"/>
      <c r="P5" s="111"/>
      <c r="Q5" s="111"/>
      <c r="R5" s="111"/>
      <c r="S5" s="111"/>
      <c r="T5" s="111"/>
      <c r="U5" s="137"/>
    </row>
    <row r="6" spans="1:21">
      <c r="B6" s="2" t="s">
        <v>249</v>
      </c>
      <c r="I6" s="353" t="str">
        <f>IF(Demande!J31="","",Demande!J31)</f>
        <v>ACHAT DES CONTENEURS DE FRIPERIES ET VENTES A MADINA AVARIA</v>
      </c>
      <c r="J6" s="354"/>
      <c r="K6" s="354"/>
      <c r="L6" s="354"/>
      <c r="M6" s="354"/>
      <c r="N6" s="354"/>
      <c r="O6" s="354"/>
      <c r="P6" s="354"/>
      <c r="Q6" s="354"/>
      <c r="R6" s="354"/>
      <c r="S6" s="354"/>
      <c r="T6" s="355"/>
    </row>
    <row r="7" spans="1:21">
      <c r="B7" s="2" t="s">
        <v>250</v>
      </c>
      <c r="I7" s="356" t="str">
        <f>IF(Demande!G29="","",Demande!G29)</f>
        <v>COMMERCE</v>
      </c>
      <c r="J7" s="357"/>
      <c r="K7" s="357"/>
      <c r="L7" s="358"/>
    </row>
    <row r="8" spans="1:21">
      <c r="B8" s="2" t="s">
        <v>251</v>
      </c>
      <c r="I8" s="356" t="str">
        <f>IF(Demande!R29="","",Demande!R29)</f>
        <v>Autre</v>
      </c>
      <c r="J8" s="357"/>
      <c r="K8" s="357"/>
      <c r="L8" s="358"/>
    </row>
    <row r="9" spans="1:21" hidden="1">
      <c r="B9" s="2" t="s">
        <v>252</v>
      </c>
      <c r="I9" s="359"/>
      <c r="J9" s="359"/>
      <c r="K9" s="359"/>
      <c r="L9" s="359"/>
    </row>
    <row r="11" spans="1:21" s="3" customFormat="1">
      <c r="A11" s="110" t="s">
        <v>253</v>
      </c>
      <c r="B11" s="352" t="s">
        <v>254</v>
      </c>
      <c r="C11" s="352"/>
      <c r="D11" s="352"/>
      <c r="E11" s="352"/>
      <c r="F11" s="352"/>
      <c r="G11" s="352"/>
      <c r="H11" s="111"/>
      <c r="I11" s="111"/>
      <c r="J11" s="111"/>
      <c r="K11" s="111"/>
      <c r="L11" s="111"/>
      <c r="M11" s="111"/>
      <c r="N11" s="111"/>
      <c r="O11" s="111"/>
      <c r="P11" s="111"/>
      <c r="Q11" s="111"/>
      <c r="R11" s="111"/>
      <c r="S11" s="111"/>
      <c r="T11" s="111"/>
      <c r="U11" s="137"/>
    </row>
    <row r="12" spans="1:21">
      <c r="B12" s="2" t="s">
        <v>255</v>
      </c>
      <c r="I12" s="346" t="str">
        <f>IF(Demande!I47="","",Demande!I47)</f>
        <v>Fonds de roulement</v>
      </c>
      <c r="J12" s="347"/>
      <c r="K12" s="347"/>
      <c r="L12" s="348"/>
    </row>
    <row r="13" spans="1:21" ht="6" customHeight="1"/>
    <row r="14" spans="1:21">
      <c r="B14" s="112"/>
      <c r="C14" s="360" t="str">
        <f>IF(OR(I12="Investissement",I12="Invest+Fonds de roulement"),"Quel est le coût de votre investissement ?","")</f>
        <v/>
      </c>
      <c r="D14" s="360"/>
      <c r="E14" s="360"/>
      <c r="F14" s="360"/>
      <c r="G14" s="360"/>
      <c r="H14" s="360"/>
      <c r="I14" s="361"/>
      <c r="J14" s="361"/>
      <c r="K14" s="361"/>
      <c r="L14" s="361"/>
    </row>
    <row r="15" spans="1:21">
      <c r="B15" s="112"/>
      <c r="C15" s="360" t="str">
        <f>IF(OR(I12="Investissement",I12="Invest+Fonds de roulement"),"Autres dépenses rattachées à l’investissement ?","")</f>
        <v/>
      </c>
      <c r="D15" s="360"/>
      <c r="E15" s="360"/>
      <c r="F15" s="360"/>
      <c r="G15" s="360"/>
      <c r="H15" s="360"/>
      <c r="I15" s="361"/>
      <c r="J15" s="361"/>
      <c r="K15" s="361"/>
      <c r="L15" s="361"/>
      <c r="P15" s="127"/>
      <c r="Q15" s="127"/>
      <c r="R15" s="127"/>
      <c r="S15" s="127"/>
    </row>
    <row r="16" spans="1:21">
      <c r="B16" s="112"/>
      <c r="C16" s="360" t="str">
        <f>IF(OR(I12="Investissement",I12="Invest+Fonds de roulement"),"Quel est le montant de votre apport personnel ?","")</f>
        <v/>
      </c>
      <c r="D16" s="360"/>
      <c r="E16" s="360"/>
      <c r="F16" s="360"/>
      <c r="G16" s="360"/>
      <c r="H16" s="360"/>
      <c r="I16" s="361"/>
      <c r="J16" s="361"/>
      <c r="K16" s="361"/>
      <c r="L16" s="361"/>
    </row>
    <row r="17" spans="1:21" ht="4.5" customHeight="1">
      <c r="I17" s="128"/>
      <c r="J17" s="128"/>
      <c r="K17" s="128"/>
      <c r="L17" s="128"/>
    </row>
    <row r="18" spans="1:21">
      <c r="B18" s="2" t="s">
        <v>256</v>
      </c>
      <c r="I18" s="362">
        <f>IF(Demande!H43="","",Demande!H43)</f>
        <v>60000000</v>
      </c>
      <c r="J18" s="363"/>
      <c r="K18" s="363"/>
      <c r="L18" s="364"/>
      <c r="M18" s="129"/>
    </row>
    <row r="19" spans="1:21">
      <c r="B19" s="2" t="s">
        <v>257</v>
      </c>
      <c r="G19" s="113"/>
      <c r="H19" s="113"/>
      <c r="I19" s="349">
        <f>IF(Demande!V43="","",Demande!V43)</f>
        <v>12</v>
      </c>
      <c r="J19" s="350"/>
      <c r="K19" s="350"/>
      <c r="L19" s="130" t="s">
        <v>258</v>
      </c>
      <c r="M19" s="129"/>
    </row>
    <row r="20" spans="1:21">
      <c r="B20" s="341" t="s">
        <v>259</v>
      </c>
      <c r="C20" s="341"/>
      <c r="D20" s="341"/>
      <c r="E20" s="341"/>
      <c r="F20" s="341"/>
      <c r="G20" s="113"/>
      <c r="H20" s="114"/>
      <c r="I20" s="365" t="str">
        <f>IF(Demande!AI43="","",Demande!AI43)</f>
        <v>Mensuelle</v>
      </c>
      <c r="J20" s="365"/>
      <c r="K20" s="365"/>
      <c r="L20" s="365"/>
    </row>
    <row r="21" spans="1:21">
      <c r="B21" s="2" t="s">
        <v>260</v>
      </c>
      <c r="G21" s="113"/>
      <c r="H21" s="114"/>
      <c r="I21" s="349" t="str">
        <f>IF(Demande!Q45="","",Demande!Q45)</f>
        <v/>
      </c>
      <c r="J21" s="350"/>
      <c r="K21" s="350"/>
      <c r="L21" s="130" t="s">
        <v>258</v>
      </c>
      <c r="M21" s="129"/>
    </row>
    <row r="22" spans="1:21">
      <c r="B22" s="341" t="s">
        <v>261</v>
      </c>
      <c r="C22" s="341"/>
      <c r="D22" s="341"/>
      <c r="G22" s="113"/>
      <c r="H22" s="114"/>
      <c r="I22" s="366">
        <f>IF(Demande!AA45="","",Demande!AA45)</f>
        <v>12</v>
      </c>
      <c r="J22" s="367"/>
      <c r="K22" s="367"/>
      <c r="L22" s="131"/>
      <c r="M22" s="129"/>
    </row>
    <row r="23" spans="1:21">
      <c r="B23" s="341" t="s">
        <v>262</v>
      </c>
      <c r="C23" s="341"/>
      <c r="D23" s="341"/>
      <c r="E23" s="341"/>
      <c r="G23" s="115"/>
      <c r="H23" s="115"/>
      <c r="I23" s="368">
        <f>IF(Demande!AH45="","",Demande!AH45)</f>
        <v>71700000</v>
      </c>
      <c r="J23" s="369"/>
      <c r="K23" s="369"/>
      <c r="L23" s="370"/>
      <c r="M23" s="129"/>
    </row>
    <row r="24" spans="1:21">
      <c r="B24" s="341" t="s">
        <v>263</v>
      </c>
      <c r="C24" s="341"/>
      <c r="D24" s="341"/>
      <c r="E24" s="341"/>
      <c r="F24" s="341"/>
      <c r="G24" s="115"/>
      <c r="H24" s="115"/>
      <c r="I24" s="368">
        <f>IF(Demande!AG59=0,"",Demande!AG59)</f>
        <v>106000000</v>
      </c>
      <c r="J24" s="369"/>
      <c r="K24" s="369"/>
      <c r="L24" s="370"/>
      <c r="M24" s="129"/>
    </row>
    <row r="25" spans="1:21">
      <c r="B25" s="341" t="s">
        <v>264</v>
      </c>
      <c r="C25" s="341"/>
      <c r="D25" s="341"/>
      <c r="E25" s="341"/>
      <c r="F25" s="341"/>
      <c r="G25" s="341"/>
      <c r="I25" s="371">
        <v>6700000</v>
      </c>
      <c r="J25" s="372"/>
      <c r="K25" s="372"/>
      <c r="L25" s="373"/>
      <c r="M25" s="129"/>
    </row>
    <row r="27" spans="1:21" s="3" customFormat="1">
      <c r="A27" s="110" t="s">
        <v>211</v>
      </c>
      <c r="B27" s="352" t="s">
        <v>265</v>
      </c>
      <c r="C27" s="352"/>
      <c r="D27" s="352"/>
      <c r="E27" s="352"/>
      <c r="F27" s="352"/>
      <c r="G27" s="352"/>
      <c r="H27" s="111"/>
      <c r="I27" s="111"/>
      <c r="J27" s="111"/>
      <c r="K27" s="111"/>
      <c r="L27" s="111"/>
      <c r="M27" s="111"/>
      <c r="N27" s="111"/>
      <c r="O27" s="111"/>
      <c r="P27" s="111"/>
      <c r="Q27" s="111"/>
      <c r="R27" s="111"/>
      <c r="S27" s="111"/>
      <c r="T27" s="111"/>
      <c r="U27" s="137"/>
    </row>
    <row r="28" spans="1:21">
      <c r="A28" s="2"/>
      <c r="B28" s="341" t="str">
        <f>IF(I12="Bon de commande","","Estimation initiale du Chiffre d'affaire")</f>
        <v>Estimation initiale du Chiffre d'affaire</v>
      </c>
      <c r="C28" s="341"/>
      <c r="D28" s="341"/>
      <c r="E28" s="341"/>
      <c r="F28" s="341"/>
      <c r="G28" s="341"/>
    </row>
    <row r="29" spans="1:21">
      <c r="C29" s="341" t="str">
        <f>IF(I12="Bon de commande","","Chiffre d'affaires hebdomadaire")</f>
        <v>Chiffre d'affaires hebdomadaire</v>
      </c>
      <c r="D29" s="341"/>
      <c r="E29" s="341"/>
      <c r="F29" s="341"/>
      <c r="G29" s="341"/>
      <c r="I29" s="371">
        <v>14500000</v>
      </c>
      <c r="J29" s="372"/>
      <c r="K29" s="372"/>
      <c r="L29" s="373"/>
      <c r="M29" s="129"/>
    </row>
    <row r="30" spans="1:21">
      <c r="C30" s="341" t="str">
        <f>IF(I12="Bon de commande","","Chiffre d'affaires mensuel")</f>
        <v>Chiffre d'affaires mensuel</v>
      </c>
      <c r="D30" s="341"/>
      <c r="E30" s="341"/>
      <c r="F30" s="341"/>
      <c r="I30" s="371">
        <v>58000000</v>
      </c>
      <c r="J30" s="372"/>
      <c r="K30" s="372"/>
      <c r="L30" s="373"/>
      <c r="M30" s="129"/>
    </row>
    <row r="32" spans="1:21">
      <c r="B32" s="374" t="str">
        <f>IF(I12="Bon de commande","","Cycle d'affaires mensuel")</f>
        <v>Cycle d'affaires mensuel</v>
      </c>
      <c r="C32" s="374"/>
      <c r="D32" s="374"/>
      <c r="E32" s="374"/>
      <c r="F32" s="374"/>
      <c r="G32" s="374"/>
    </row>
    <row r="33" spans="1:21">
      <c r="B33" s="116" t="str">
        <f>IF(I12="Bon de commande","","Cycle")</f>
        <v>Cycle</v>
      </c>
      <c r="C33" s="116" t="str">
        <f>IF(I12="Bon de commande","","Janv")</f>
        <v>Janv</v>
      </c>
      <c r="D33" s="116" t="str">
        <f>IF(I12="Bon de commande","","Févr")</f>
        <v>Févr</v>
      </c>
      <c r="E33" s="116" t="str">
        <f>IF(I12="Bon de commande","","Mars")</f>
        <v>Mars</v>
      </c>
      <c r="F33" s="116" t="str">
        <f>IF(I12="Bon de commande","","Avril")</f>
        <v>Avril</v>
      </c>
      <c r="G33" s="116" t="str">
        <f>IF(I12="Bon de commande","","Mai")</f>
        <v>Mai</v>
      </c>
      <c r="H33" s="116" t="str">
        <f>IF(I12="Bon de commande","","Juin")</f>
        <v>Juin</v>
      </c>
      <c r="I33" s="116" t="str">
        <f>IF(I12="Bon de commande","","Juill")</f>
        <v>Juill</v>
      </c>
      <c r="J33" s="116" t="str">
        <f>IF(I12="Bon de commande","","Août")</f>
        <v>Août</v>
      </c>
      <c r="K33" s="116" t="str">
        <f>IF(I12="Bon de commande","","Sept.")</f>
        <v>Sept.</v>
      </c>
      <c r="L33" s="116" t="str">
        <f>IF(I12="Bon de commande","","Oct.")</f>
        <v>Oct.</v>
      </c>
      <c r="M33" s="116" t="str">
        <f>IF(I12="Bon de commande","","Nov.")</f>
        <v>Nov.</v>
      </c>
      <c r="N33" s="116" t="str">
        <f>IF(I12="Bon de commande","","Déc.")</f>
        <v>Déc.</v>
      </c>
      <c r="O33" s="375" t="str">
        <f>IF(I12="Bon de commande","","Chiffre d'affaires mensuel")</f>
        <v>Chiffre d'affaires mensuel</v>
      </c>
      <c r="P33" s="376"/>
      <c r="Q33" s="376"/>
      <c r="R33" s="377"/>
    </row>
    <row r="34" spans="1:21">
      <c r="B34" s="117" t="str">
        <f>IF(I12="Bon de commande","","Fort")</f>
        <v>Fort</v>
      </c>
      <c r="C34" s="118"/>
      <c r="D34" s="118" t="s">
        <v>227</v>
      </c>
      <c r="E34" s="118" t="s">
        <v>227</v>
      </c>
      <c r="F34" s="118"/>
      <c r="G34" s="118" t="s">
        <v>227</v>
      </c>
      <c r="H34" s="118" t="s">
        <v>227</v>
      </c>
      <c r="I34" s="118"/>
      <c r="J34" s="118"/>
      <c r="K34" s="118"/>
      <c r="L34" s="118"/>
      <c r="M34" s="118"/>
      <c r="N34" s="118" t="s">
        <v>227</v>
      </c>
      <c r="O34" s="378">
        <v>25000000</v>
      </c>
      <c r="P34" s="379"/>
      <c r="Q34" s="379"/>
      <c r="R34" s="380"/>
    </row>
    <row r="35" spans="1:21">
      <c r="B35" s="89" t="str">
        <f>IF(I12="Bon de commande","","Moyen")</f>
        <v>Moyen</v>
      </c>
      <c r="C35" s="119" t="s">
        <v>227</v>
      </c>
      <c r="D35" s="119"/>
      <c r="E35" s="119"/>
      <c r="F35" s="119" t="s">
        <v>227</v>
      </c>
      <c r="G35" s="119"/>
      <c r="H35" s="119"/>
      <c r="I35" s="119"/>
      <c r="J35" s="119"/>
      <c r="K35" s="119"/>
      <c r="L35" s="119" t="s">
        <v>227</v>
      </c>
      <c r="M35" s="119" t="s">
        <v>227</v>
      </c>
      <c r="N35" s="119"/>
      <c r="O35" s="378">
        <v>16000000</v>
      </c>
      <c r="P35" s="379"/>
      <c r="Q35" s="379"/>
      <c r="R35" s="380"/>
    </row>
    <row r="36" spans="1:21">
      <c r="B36" s="89" t="str">
        <f>IF(I12="Bon de commande","","Faible")</f>
        <v>Faible</v>
      </c>
      <c r="C36" s="119"/>
      <c r="D36" s="119"/>
      <c r="E36" s="119"/>
      <c r="F36" s="119"/>
      <c r="G36" s="119"/>
      <c r="H36" s="119"/>
      <c r="I36" s="119" t="s">
        <v>227</v>
      </c>
      <c r="J36" s="119" t="s">
        <v>227</v>
      </c>
      <c r="K36" s="119" t="s">
        <v>227</v>
      </c>
      <c r="L36" s="119"/>
      <c r="M36" s="119"/>
      <c r="N36" s="119"/>
      <c r="O36" s="381">
        <v>10500000</v>
      </c>
      <c r="P36" s="381"/>
      <c r="Q36" s="381"/>
      <c r="R36" s="381"/>
    </row>
    <row r="38" spans="1:21">
      <c r="B38" s="374" t="str">
        <f>IF(I12="Bon de commande","","Structure du Chiffre d’Affaire Hebdomadaire")</f>
        <v>Structure du Chiffre d’Affaire Hebdomadaire</v>
      </c>
      <c r="C38" s="374"/>
      <c r="D38" s="374"/>
      <c r="E38" s="374"/>
      <c r="F38" s="374"/>
      <c r="G38" s="374"/>
      <c r="H38" s="374"/>
    </row>
    <row r="39" spans="1:21">
      <c r="B39" s="116" t="str">
        <f>IF(I12="Bon de commande","","Cycle :")</f>
        <v>Cycle :</v>
      </c>
      <c r="C39" s="116" t="str">
        <f>IF(I12="Bon de commande","",IF(AND(C40="X",C41="X"),"Faux",IF(AND(C40="X",C42="X"),"Faux",IF(AND(C42="X",C41="X"),"Faux","Lun"))))</f>
        <v>Lun</v>
      </c>
      <c r="D39" s="116" t="str">
        <f>IF(I12="Bon de commande","",IF(AND(D40="X",D41="X"),"Faux",IF(AND(D40="X",D42="X"),"Faux",IF(AND(D42="X",D41="X"),"Faux","Mar"))))</f>
        <v>Mar</v>
      </c>
      <c r="E39" s="116" t="str">
        <f>IF(I12="Bon de commande","",IF(AND(E40="X",E41="X"),"Faux",IF(AND(E40="X",E42="X"),"Faux",IF(AND(E42="X",E41="X"),"Faux","Mer"))))</f>
        <v>Mer</v>
      </c>
      <c r="F39" s="116" t="str">
        <f>IF(I12="Bon de commande","",IF(AND(F40="X",F41="X"),"Faux",IF(AND(F40="X",F42="X"),"Faux",IF(AND(F42="X",F41="X"),"Faux","Jeu"))))</f>
        <v>Jeu</v>
      </c>
      <c r="G39" s="116" t="str">
        <f>IF(I12="Bon de commande","",IF(AND(G40="X",G41="X"),"Faux",IF(AND(G40="X",G42="X"),"Faux",IF(AND(G42="X",G41="X"),"Faux","Ven"))))</f>
        <v>Ven</v>
      </c>
      <c r="H39" s="116" t="str">
        <f>IF(I12="Bon de commande","",IF(AND(H40="X",H41="X"),"Faux",IF(AND(H40="X",H42="X"),"Faux",IF(AND(H42="X",H41="X"),"Faux","Sam"))))</f>
        <v>Sam</v>
      </c>
      <c r="I39" s="116" t="str">
        <f>IF(I12="Bon de commande","",IF(AND(I40="X",I41="X"),"Faux",IF(AND(I40="X",I42="X"),"Faux",IF(AND(I42="X",I41="X"),"Faux","Dim"))))</f>
        <v>Dim</v>
      </c>
      <c r="J39" s="382" t="str">
        <f>IF(I12="Bon de commande","","GNF par Jour")</f>
        <v>GNF par Jour</v>
      </c>
      <c r="K39" s="382"/>
      <c r="L39" s="382"/>
      <c r="M39" s="382" t="str">
        <f>IF(I12="Bon de commande","","Total par cycle")</f>
        <v>Total par cycle</v>
      </c>
      <c r="N39" s="382"/>
      <c r="O39" s="382"/>
    </row>
    <row r="40" spans="1:21">
      <c r="B40" s="117" t="str">
        <f>IF(I12="Bon de commande","","Fort")</f>
        <v>Fort</v>
      </c>
      <c r="C40" s="118"/>
      <c r="D40" s="118"/>
      <c r="E40" s="118"/>
      <c r="F40" s="118"/>
      <c r="G40" s="118" t="s">
        <v>227</v>
      </c>
      <c r="H40" s="118" t="s">
        <v>227</v>
      </c>
      <c r="I40" s="118" t="s">
        <v>227</v>
      </c>
      <c r="J40" s="383">
        <v>2500000</v>
      </c>
      <c r="K40" s="383"/>
      <c r="L40" s="383"/>
      <c r="M40" s="384">
        <f>IF(I12="Bon de commande","",J40*COUNTA(C40:I40))</f>
        <v>7500000</v>
      </c>
      <c r="N40" s="384"/>
      <c r="O40" s="384"/>
    </row>
    <row r="41" spans="1:21">
      <c r="B41" s="89" t="str">
        <f>IF(I12="Bon de commande","","Moyen")</f>
        <v>Moyen</v>
      </c>
      <c r="C41" s="119"/>
      <c r="D41" s="119"/>
      <c r="E41" s="119" t="s">
        <v>227</v>
      </c>
      <c r="F41" s="119" t="s">
        <v>227</v>
      </c>
      <c r="G41" s="119"/>
      <c r="H41" s="119"/>
      <c r="I41" s="119"/>
      <c r="J41" s="385">
        <v>2000000</v>
      </c>
      <c r="K41" s="385"/>
      <c r="L41" s="385"/>
      <c r="M41" s="386">
        <f>IF(I12="Bon de commande","",J41*COUNTA(C41:I41))</f>
        <v>4000000</v>
      </c>
      <c r="N41" s="386"/>
      <c r="O41" s="386"/>
    </row>
    <row r="42" spans="1:21">
      <c r="B42" s="120" t="str">
        <f>IF(I12="Bon de commande","","Faible")</f>
        <v>Faible</v>
      </c>
      <c r="C42" s="121" t="s">
        <v>227</v>
      </c>
      <c r="D42" s="121" t="s">
        <v>227</v>
      </c>
      <c r="E42" s="121"/>
      <c r="F42" s="121"/>
      <c r="G42" s="121"/>
      <c r="H42" s="121"/>
      <c r="I42" s="121"/>
      <c r="J42" s="387">
        <v>1500000</v>
      </c>
      <c r="K42" s="387"/>
      <c r="L42" s="387"/>
      <c r="M42" s="386">
        <f>IF(I12="Bon de commande","",J42*COUNTA(C42:I42))</f>
        <v>3000000</v>
      </c>
      <c r="N42" s="386"/>
      <c r="O42" s="386"/>
    </row>
    <row r="43" spans="1:21">
      <c r="B43" s="122"/>
      <c r="C43" s="123"/>
      <c r="D43" s="123"/>
      <c r="E43" s="123"/>
      <c r="F43" s="123"/>
      <c r="G43" s="388" t="str">
        <f>IF(I12="Bon de commande","","Chiffre d'affaires total hebdomadaire")</f>
        <v>Chiffre d'affaires total hebdomadaire</v>
      </c>
      <c r="H43" s="388"/>
      <c r="I43" s="388"/>
      <c r="J43" s="388"/>
      <c r="K43" s="388"/>
      <c r="L43" s="389"/>
      <c r="M43" s="390">
        <f>IF(I12="Bon de commande","",SUM(M40:O42))</f>
        <v>14500000</v>
      </c>
      <c r="N43" s="391"/>
      <c r="O43" s="392"/>
    </row>
    <row r="44" spans="1:21">
      <c r="B44" s="124"/>
      <c r="C44" s="125"/>
      <c r="D44" s="125"/>
      <c r="E44" s="125"/>
      <c r="F44" s="125"/>
      <c r="G44" s="347" t="str">
        <f>IF(I12="Bon de commande","","Chiffre d'affaires total mensuel")</f>
        <v>Chiffre d'affaires total mensuel</v>
      </c>
      <c r="H44" s="347"/>
      <c r="I44" s="347"/>
      <c r="J44" s="347"/>
      <c r="K44" s="347"/>
      <c r="L44" s="348"/>
      <c r="M44" s="390">
        <f>IF(I12="Bon de commande","",M43*4)</f>
        <v>58000000</v>
      </c>
      <c r="N44" s="391"/>
      <c r="O44" s="392"/>
    </row>
    <row r="46" spans="1:21" s="3" customFormat="1">
      <c r="A46" s="110" t="s">
        <v>230</v>
      </c>
      <c r="B46" s="352" t="s">
        <v>266</v>
      </c>
      <c r="C46" s="352"/>
      <c r="D46" s="352"/>
      <c r="E46" s="352"/>
      <c r="F46" s="352"/>
      <c r="G46" s="352"/>
      <c r="H46" s="352"/>
      <c r="I46" s="352"/>
      <c r="J46" s="111"/>
      <c r="K46" s="111"/>
      <c r="L46" s="111"/>
      <c r="M46" s="111"/>
      <c r="N46" s="111"/>
      <c r="O46" s="111"/>
      <c r="P46" s="111"/>
      <c r="Q46" s="111"/>
      <c r="R46" s="111"/>
      <c r="S46" s="111"/>
      <c r="T46" s="111"/>
      <c r="U46" s="137"/>
    </row>
    <row r="47" spans="1:21">
      <c r="B47" s="345" t="s">
        <v>267</v>
      </c>
      <c r="C47" s="345"/>
      <c r="D47" s="345"/>
      <c r="E47" s="345"/>
      <c r="F47" s="345"/>
      <c r="G47" s="345"/>
      <c r="H47" s="345"/>
      <c r="I47" s="132" t="s">
        <v>268</v>
      </c>
      <c r="K47" s="345" t="str">
        <f>IF(I47="OUI","Alors quel est taux de marge brute ?","")</f>
        <v>Alors quel est taux de marge brute ?</v>
      </c>
      <c r="L47" s="345"/>
      <c r="M47" s="345"/>
      <c r="N47" s="345"/>
      <c r="O47" s="345"/>
      <c r="P47" s="133">
        <v>0.34</v>
      </c>
    </row>
    <row r="48" spans="1:21" ht="6.4" customHeight="1"/>
    <row r="49" spans="2:22">
      <c r="B49" s="345" t="s">
        <v>269</v>
      </c>
      <c r="C49" s="345"/>
      <c r="D49" s="345"/>
      <c r="E49" s="345"/>
      <c r="F49" s="345"/>
      <c r="G49" s="345"/>
      <c r="H49" s="345"/>
      <c r="I49" s="132" t="s">
        <v>268</v>
      </c>
    </row>
    <row r="50" spans="2:22" ht="7.15" customHeight="1">
      <c r="K50" s="107"/>
      <c r="L50" s="107"/>
      <c r="M50" s="107"/>
      <c r="N50" s="107"/>
      <c r="O50" s="107"/>
      <c r="V50" s="3"/>
    </row>
    <row r="51" spans="2:22">
      <c r="B51" s="393" t="str">
        <f>IF(I12="Bon de commande","Marché/Bon de commande - Fréquence unique",IF(I49="OUI","Quelle est la fréquence des ventes ?",""))</f>
        <v>Quelle est la fréquence des ventes ?</v>
      </c>
      <c r="C51" s="393"/>
      <c r="D51" s="393"/>
      <c r="E51" s="393"/>
      <c r="F51" s="393"/>
      <c r="G51" s="393"/>
      <c r="H51" s="393"/>
      <c r="I51" s="394" t="s">
        <v>27</v>
      </c>
      <c r="J51" s="394"/>
      <c r="K51" s="394"/>
      <c r="L51" s="394"/>
      <c r="M51" s="395" t="str">
        <f>IF(I51="Journalière","Nombre de jours dans le mois",IF(I51="Autre","Précisez ici (ratio en jours)",""))</f>
        <v/>
      </c>
      <c r="N51" s="395"/>
      <c r="O51" s="395"/>
      <c r="P51" s="134"/>
      <c r="Q51" s="126"/>
      <c r="R51" s="126"/>
      <c r="S51" s="126"/>
      <c r="T51" s="126"/>
      <c r="U51" s="137"/>
    </row>
    <row r="52" spans="2:22">
      <c r="B52" s="126"/>
      <c r="C52" s="126"/>
      <c r="D52" s="126"/>
      <c r="E52" s="126"/>
      <c r="F52" s="126"/>
      <c r="G52" s="126"/>
      <c r="H52" s="126"/>
      <c r="I52" s="126"/>
      <c r="J52" s="126"/>
      <c r="K52" s="126"/>
      <c r="L52" s="126"/>
      <c r="M52" s="126"/>
      <c r="N52" s="126"/>
      <c r="O52" s="126"/>
      <c r="P52" s="126"/>
      <c r="Q52" s="126"/>
      <c r="R52" s="126"/>
      <c r="S52" s="126"/>
      <c r="T52" s="126"/>
    </row>
    <row r="53" spans="2:22">
      <c r="B53" s="396" t="str">
        <f>IF(I49="OUI","Produits ou Articles","")</f>
        <v>Produits ou Articles</v>
      </c>
      <c r="C53" s="396"/>
      <c r="D53" s="396"/>
      <c r="E53" s="396" t="str">
        <f>IF(I12="Bon de commande","Coût du Marché",IF(I49="OUI","Prix de vente (GNF)",""))</f>
        <v>Prix de vente (GNF)</v>
      </c>
      <c r="F53" s="396"/>
      <c r="G53" s="396"/>
      <c r="H53" s="396" t="str">
        <f>IF(I12="Bon de commande","Coût d'exécution",IF(I49="OUI","Coût d'achat (GNF)",""))</f>
        <v>Coût d'achat (GNF)</v>
      </c>
      <c r="I53" s="396"/>
      <c r="J53" s="396"/>
      <c r="K53" s="397" t="str">
        <f>IF(I49="OUI","Quantité","")</f>
        <v>Quantité</v>
      </c>
      <c r="L53" s="397"/>
      <c r="M53" s="398" t="str">
        <f>IF(I49="OUI","Chiffres d'affaires (GNF)","")</f>
        <v>Chiffres d'affaires (GNF)</v>
      </c>
      <c r="N53" s="398"/>
      <c r="O53" s="398"/>
      <c r="P53" s="398" t="str">
        <f>IF(I49="OUI","Coûts d'achat (GNF)","")</f>
        <v>Coûts d'achat (GNF)</v>
      </c>
      <c r="Q53" s="398"/>
      <c r="R53" s="398"/>
      <c r="S53" s="126"/>
      <c r="T53" s="135" t="str">
        <f>IF(I49="OUI","%MB","")</f>
        <v>%MB</v>
      </c>
      <c r="V53" s="138"/>
    </row>
    <row r="54" spans="2:22" ht="2.65" customHeight="1">
      <c r="B54" s="396"/>
      <c r="C54" s="396"/>
      <c r="D54" s="396"/>
      <c r="E54" s="396"/>
      <c r="F54" s="396"/>
      <c r="G54" s="396"/>
      <c r="H54" s="396"/>
      <c r="I54" s="396"/>
      <c r="J54" s="396"/>
      <c r="K54" s="396"/>
      <c r="L54" s="396"/>
      <c r="M54" s="396"/>
      <c r="N54" s="396"/>
      <c r="O54" s="396"/>
      <c r="P54" s="396"/>
      <c r="Q54" s="396"/>
      <c r="R54" s="396"/>
      <c r="S54" s="126"/>
      <c r="T54" s="135"/>
      <c r="V54" s="138"/>
    </row>
    <row r="55" spans="2:22">
      <c r="B55" s="399" t="s">
        <v>441</v>
      </c>
      <c r="C55" s="399"/>
      <c r="D55" s="399"/>
      <c r="E55" s="400">
        <v>7000000</v>
      </c>
      <c r="F55" s="400"/>
      <c r="G55" s="400"/>
      <c r="H55" s="400">
        <v>6000000</v>
      </c>
      <c r="I55" s="400"/>
      <c r="J55" s="400"/>
      <c r="K55" s="401">
        <v>5</v>
      </c>
      <c r="L55" s="401"/>
      <c r="M55" s="402">
        <f>IF($I$49="OUI",E55*K55,"")</f>
        <v>35000000</v>
      </c>
      <c r="N55" s="402"/>
      <c r="O55" s="402"/>
      <c r="P55" s="402">
        <f>IF($I$49="OUI",H55*K55,"")</f>
        <v>30000000</v>
      </c>
      <c r="Q55" s="402"/>
      <c r="R55" s="402"/>
      <c r="S55" s="126"/>
      <c r="T55" s="139">
        <f>IFERROR(((M55-P55)/M55),"")</f>
        <v>0.14285714285714285</v>
      </c>
      <c r="V55" s="138"/>
    </row>
    <row r="56" spans="2:22">
      <c r="B56" s="399" t="s">
        <v>442</v>
      </c>
      <c r="C56" s="399"/>
      <c r="D56" s="399"/>
      <c r="E56" s="400">
        <v>3500000</v>
      </c>
      <c r="F56" s="400"/>
      <c r="G56" s="400"/>
      <c r="H56" s="400">
        <v>2500000</v>
      </c>
      <c r="I56" s="400"/>
      <c r="J56" s="400"/>
      <c r="K56" s="401">
        <v>20</v>
      </c>
      <c r="L56" s="401"/>
      <c r="M56" s="402">
        <f>IF($I$49="OUI",E56*K56,"")</f>
        <v>70000000</v>
      </c>
      <c r="N56" s="402"/>
      <c r="O56" s="402"/>
      <c r="P56" s="402">
        <f t="shared" ref="P56:P69" si="0">IF($I$49="OUI",H56*K56,"")</f>
        <v>50000000</v>
      </c>
      <c r="Q56" s="402"/>
      <c r="R56" s="402"/>
      <c r="S56" s="126"/>
      <c r="T56" s="139">
        <f t="shared" ref="T56:T70" si="1">IFERROR(((M56-P56)/M56),"")</f>
        <v>0.2857142857142857</v>
      </c>
      <c r="V56" s="138"/>
    </row>
    <row r="57" spans="2:22">
      <c r="B57" s="399" t="s">
        <v>435</v>
      </c>
      <c r="C57" s="399"/>
      <c r="D57" s="399"/>
      <c r="E57" s="400">
        <v>3000000</v>
      </c>
      <c r="F57" s="400"/>
      <c r="G57" s="400"/>
      <c r="H57" s="400">
        <v>2600000</v>
      </c>
      <c r="I57" s="400"/>
      <c r="J57" s="400"/>
      <c r="K57" s="401">
        <v>2</v>
      </c>
      <c r="L57" s="401"/>
      <c r="M57" s="402">
        <f t="shared" ref="M57:M69" si="2">IF($I$49="OUI",E57*K57,"")</f>
        <v>6000000</v>
      </c>
      <c r="N57" s="402"/>
      <c r="O57" s="402"/>
      <c r="P57" s="402">
        <f t="shared" si="0"/>
        <v>5200000</v>
      </c>
      <c r="Q57" s="402"/>
      <c r="R57" s="402"/>
      <c r="S57" s="126"/>
      <c r="T57" s="139">
        <f t="shared" si="1"/>
        <v>0.13333333333333333</v>
      </c>
      <c r="V57" s="138"/>
    </row>
    <row r="58" spans="2:22">
      <c r="B58" s="399" t="s">
        <v>434</v>
      </c>
      <c r="C58" s="399"/>
      <c r="D58" s="399"/>
      <c r="E58" s="400">
        <v>2400000</v>
      </c>
      <c r="F58" s="400"/>
      <c r="G58" s="400"/>
      <c r="H58" s="400">
        <v>1700000</v>
      </c>
      <c r="I58" s="400"/>
      <c r="J58" s="400"/>
      <c r="K58" s="401">
        <v>5</v>
      </c>
      <c r="L58" s="401"/>
      <c r="M58" s="402">
        <f t="shared" si="2"/>
        <v>12000000</v>
      </c>
      <c r="N58" s="402"/>
      <c r="O58" s="402"/>
      <c r="P58" s="402">
        <f t="shared" si="0"/>
        <v>8500000</v>
      </c>
      <c r="Q58" s="402"/>
      <c r="R58" s="402"/>
      <c r="S58" s="126"/>
      <c r="T58" s="139">
        <f t="shared" si="1"/>
        <v>0.29166666666666669</v>
      </c>
      <c r="V58" s="138"/>
    </row>
    <row r="59" spans="2:22">
      <c r="B59" s="399" t="s">
        <v>436</v>
      </c>
      <c r="C59" s="399"/>
      <c r="D59" s="399"/>
      <c r="E59" s="400">
        <v>500000</v>
      </c>
      <c r="F59" s="400"/>
      <c r="G59" s="400"/>
      <c r="H59" s="400">
        <v>280000</v>
      </c>
      <c r="I59" s="400"/>
      <c r="J59" s="400"/>
      <c r="K59" s="401">
        <v>10</v>
      </c>
      <c r="L59" s="401"/>
      <c r="M59" s="402">
        <f t="shared" si="2"/>
        <v>5000000</v>
      </c>
      <c r="N59" s="402"/>
      <c r="O59" s="402"/>
      <c r="P59" s="402">
        <f t="shared" si="0"/>
        <v>2800000</v>
      </c>
      <c r="Q59" s="402"/>
      <c r="R59" s="402"/>
      <c r="S59" s="126"/>
      <c r="T59" s="139">
        <f t="shared" si="1"/>
        <v>0.44</v>
      </c>
      <c r="V59" s="138"/>
    </row>
    <row r="60" spans="2:22">
      <c r="B60" s="399" t="s">
        <v>467</v>
      </c>
      <c r="C60" s="399"/>
      <c r="D60" s="399"/>
      <c r="E60" s="400">
        <v>4500000</v>
      </c>
      <c r="F60" s="400"/>
      <c r="G60" s="400"/>
      <c r="H60" s="400">
        <v>3500000</v>
      </c>
      <c r="I60" s="400"/>
      <c r="J60" s="400"/>
      <c r="K60" s="401">
        <v>10</v>
      </c>
      <c r="L60" s="401"/>
      <c r="M60" s="402">
        <f t="shared" si="2"/>
        <v>45000000</v>
      </c>
      <c r="N60" s="402"/>
      <c r="O60" s="402"/>
      <c r="P60" s="402">
        <f t="shared" si="0"/>
        <v>35000000</v>
      </c>
      <c r="Q60" s="402"/>
      <c r="R60" s="402"/>
      <c r="S60" s="126"/>
      <c r="T60" s="139">
        <f t="shared" si="1"/>
        <v>0.22222222222222221</v>
      </c>
      <c r="V60" s="138"/>
    </row>
    <row r="61" spans="2:22">
      <c r="B61" s="399" t="s">
        <v>466</v>
      </c>
      <c r="C61" s="399"/>
      <c r="D61" s="399"/>
      <c r="E61" s="400">
        <v>1500000</v>
      </c>
      <c r="F61" s="400"/>
      <c r="G61" s="400"/>
      <c r="H61" s="400">
        <v>800000</v>
      </c>
      <c r="I61" s="400"/>
      <c r="J61" s="400"/>
      <c r="K61" s="401">
        <v>20</v>
      </c>
      <c r="L61" s="401"/>
      <c r="M61" s="402">
        <f t="shared" si="2"/>
        <v>30000000</v>
      </c>
      <c r="N61" s="402"/>
      <c r="O61" s="402"/>
      <c r="P61" s="402">
        <f t="shared" si="0"/>
        <v>16000000</v>
      </c>
      <c r="Q61" s="402"/>
      <c r="R61" s="402"/>
      <c r="S61" s="126"/>
      <c r="T61" s="139">
        <f t="shared" si="1"/>
        <v>0.46666666666666667</v>
      </c>
      <c r="V61" s="138"/>
    </row>
    <row r="62" spans="2:22">
      <c r="B62" s="399" t="s">
        <v>465</v>
      </c>
      <c r="C62" s="399"/>
      <c r="D62" s="399"/>
      <c r="E62" s="400">
        <v>2500000</v>
      </c>
      <c r="F62" s="400"/>
      <c r="G62" s="400"/>
      <c r="H62" s="400">
        <v>1800000</v>
      </c>
      <c r="I62" s="400"/>
      <c r="J62" s="400"/>
      <c r="K62" s="401">
        <v>20</v>
      </c>
      <c r="L62" s="401"/>
      <c r="M62" s="402">
        <f t="shared" si="2"/>
        <v>50000000</v>
      </c>
      <c r="N62" s="402"/>
      <c r="O62" s="402"/>
      <c r="P62" s="402">
        <f t="shared" si="0"/>
        <v>36000000</v>
      </c>
      <c r="Q62" s="402"/>
      <c r="R62" s="402"/>
      <c r="S62" s="126"/>
      <c r="T62" s="139">
        <f t="shared" si="1"/>
        <v>0.28000000000000003</v>
      </c>
      <c r="V62" s="138"/>
    </row>
    <row r="63" spans="2:22">
      <c r="B63" s="399" t="s">
        <v>464</v>
      </c>
      <c r="C63" s="399"/>
      <c r="D63" s="399"/>
      <c r="E63" s="400">
        <v>2400000</v>
      </c>
      <c r="F63" s="400"/>
      <c r="G63" s="400"/>
      <c r="H63" s="400">
        <v>1300000</v>
      </c>
      <c r="I63" s="400"/>
      <c r="J63" s="400"/>
      <c r="K63" s="401">
        <v>20</v>
      </c>
      <c r="L63" s="401"/>
      <c r="M63" s="402">
        <f t="shared" si="2"/>
        <v>48000000</v>
      </c>
      <c r="N63" s="402"/>
      <c r="O63" s="402"/>
      <c r="P63" s="402">
        <f t="shared" si="0"/>
        <v>26000000</v>
      </c>
      <c r="Q63" s="402"/>
      <c r="R63" s="402"/>
      <c r="S63" s="126"/>
      <c r="T63" s="139">
        <f t="shared" si="1"/>
        <v>0.45833333333333331</v>
      </c>
      <c r="V63" s="138"/>
    </row>
    <row r="64" spans="2:22">
      <c r="B64" s="399" t="s">
        <v>468</v>
      </c>
      <c r="C64" s="399"/>
      <c r="D64" s="399"/>
      <c r="E64" s="400">
        <v>4000000</v>
      </c>
      <c r="F64" s="400"/>
      <c r="G64" s="400"/>
      <c r="H64" s="400">
        <v>1800000</v>
      </c>
      <c r="I64" s="400"/>
      <c r="J64" s="400"/>
      <c r="K64" s="401">
        <v>10</v>
      </c>
      <c r="L64" s="401"/>
      <c r="M64" s="402">
        <f t="shared" si="2"/>
        <v>40000000</v>
      </c>
      <c r="N64" s="402"/>
      <c r="O64" s="402"/>
      <c r="P64" s="402">
        <f t="shared" si="0"/>
        <v>18000000</v>
      </c>
      <c r="Q64" s="402"/>
      <c r="R64" s="402"/>
      <c r="S64" s="126"/>
      <c r="T64" s="139">
        <f t="shared" si="1"/>
        <v>0.55000000000000004</v>
      </c>
      <c r="V64" s="138"/>
    </row>
    <row r="65" spans="1:22">
      <c r="B65" s="399" t="s">
        <v>437</v>
      </c>
      <c r="C65" s="399"/>
      <c r="D65" s="399"/>
      <c r="E65" s="400">
        <v>1000000</v>
      </c>
      <c r="F65" s="400"/>
      <c r="G65" s="400"/>
      <c r="H65" s="400">
        <v>640000</v>
      </c>
      <c r="I65" s="400"/>
      <c r="J65" s="400"/>
      <c r="K65" s="401">
        <v>10</v>
      </c>
      <c r="L65" s="401"/>
      <c r="M65" s="402">
        <f t="shared" si="2"/>
        <v>10000000</v>
      </c>
      <c r="N65" s="402"/>
      <c r="O65" s="402"/>
      <c r="P65" s="402">
        <f t="shared" si="0"/>
        <v>6400000</v>
      </c>
      <c r="Q65" s="402"/>
      <c r="R65" s="402"/>
      <c r="S65" s="126"/>
      <c r="T65" s="139">
        <f t="shared" si="1"/>
        <v>0.36</v>
      </c>
      <c r="V65" s="138"/>
    </row>
    <row r="66" spans="1:22">
      <c r="B66" s="399" t="s">
        <v>438</v>
      </c>
      <c r="C66" s="399"/>
      <c r="D66" s="399"/>
      <c r="E66" s="400">
        <v>1000000</v>
      </c>
      <c r="F66" s="400"/>
      <c r="G66" s="400"/>
      <c r="H66" s="400">
        <v>500000</v>
      </c>
      <c r="I66" s="400"/>
      <c r="J66" s="400"/>
      <c r="K66" s="401">
        <v>20</v>
      </c>
      <c r="L66" s="401"/>
      <c r="M66" s="402">
        <f t="shared" si="2"/>
        <v>20000000</v>
      </c>
      <c r="N66" s="402"/>
      <c r="O66" s="402"/>
      <c r="P66" s="402">
        <f t="shared" si="0"/>
        <v>10000000</v>
      </c>
      <c r="Q66" s="402"/>
      <c r="R66" s="402"/>
      <c r="S66" s="126"/>
      <c r="T66" s="139">
        <f t="shared" si="1"/>
        <v>0.5</v>
      </c>
      <c r="V66" s="138"/>
    </row>
    <row r="67" spans="1:22">
      <c r="B67" s="399" t="s">
        <v>439</v>
      </c>
      <c r="C67" s="399"/>
      <c r="D67" s="399"/>
      <c r="E67" s="400">
        <v>1000000</v>
      </c>
      <c r="F67" s="400"/>
      <c r="G67" s="400"/>
      <c r="H67" s="400">
        <v>500000</v>
      </c>
      <c r="I67" s="400"/>
      <c r="J67" s="400"/>
      <c r="K67" s="401">
        <v>10</v>
      </c>
      <c r="L67" s="401"/>
      <c r="M67" s="402">
        <f t="shared" si="2"/>
        <v>10000000</v>
      </c>
      <c r="N67" s="402"/>
      <c r="O67" s="402"/>
      <c r="P67" s="402">
        <f t="shared" si="0"/>
        <v>5000000</v>
      </c>
      <c r="Q67" s="402"/>
      <c r="R67" s="402"/>
      <c r="S67" s="126"/>
      <c r="T67" s="139">
        <f t="shared" si="1"/>
        <v>0.5</v>
      </c>
      <c r="V67" s="138"/>
    </row>
    <row r="68" spans="1:22">
      <c r="B68" s="399" t="s">
        <v>440</v>
      </c>
      <c r="C68" s="399"/>
      <c r="D68" s="399"/>
      <c r="E68" s="400">
        <v>6000000</v>
      </c>
      <c r="F68" s="400"/>
      <c r="G68" s="400"/>
      <c r="H68" s="400">
        <v>4000000</v>
      </c>
      <c r="I68" s="400"/>
      <c r="J68" s="400"/>
      <c r="K68" s="401">
        <v>10</v>
      </c>
      <c r="L68" s="401"/>
      <c r="M68" s="402">
        <f t="shared" si="2"/>
        <v>60000000</v>
      </c>
      <c r="N68" s="402"/>
      <c r="O68" s="402"/>
      <c r="P68" s="402">
        <f t="shared" si="0"/>
        <v>40000000</v>
      </c>
      <c r="Q68" s="402"/>
      <c r="R68" s="402"/>
      <c r="S68" s="126"/>
      <c r="T68" s="139">
        <f t="shared" si="1"/>
        <v>0.33333333333333331</v>
      </c>
      <c r="V68" s="138"/>
    </row>
    <row r="69" spans="1:22">
      <c r="B69" s="399"/>
      <c r="C69" s="399"/>
      <c r="D69" s="399"/>
      <c r="E69" s="400"/>
      <c r="F69" s="400"/>
      <c r="G69" s="400"/>
      <c r="H69" s="400"/>
      <c r="I69" s="400"/>
      <c r="J69" s="400"/>
      <c r="K69" s="401"/>
      <c r="L69" s="401"/>
      <c r="M69" s="402">
        <f t="shared" si="2"/>
        <v>0</v>
      </c>
      <c r="N69" s="402"/>
      <c r="O69" s="402"/>
      <c r="P69" s="402">
        <f t="shared" si="0"/>
        <v>0</v>
      </c>
      <c r="Q69" s="402"/>
      <c r="R69" s="402"/>
      <c r="S69" s="126"/>
      <c r="T69" s="139" t="str">
        <f t="shared" si="1"/>
        <v/>
      </c>
      <c r="V69" s="138"/>
    </row>
    <row r="70" spans="1:22">
      <c r="B70" s="403" t="str">
        <f>IF(I12="Bon de commande","Coût du bon de commande et taux de marge",IF(I49="OUI","Total mensuel",""))</f>
        <v>Total mensuel</v>
      </c>
      <c r="C70" s="403"/>
      <c r="D70" s="403"/>
      <c r="E70" s="403"/>
      <c r="F70" s="403"/>
      <c r="G70" s="403"/>
      <c r="H70" s="403"/>
      <c r="I70" s="403"/>
      <c r="J70" s="403"/>
      <c r="K70" s="403"/>
      <c r="L70" s="403"/>
      <c r="M70" s="404">
        <f>IF(I12="Bon de commande",(SUM(M55:O69)*1),IF($I$51="Journalière",((SUM(M55:O69)*$P$51)),IF($I$51="Hebdomadaire",(SUM(M55:O69)*4),IF($I$51="Mensuelle",(SUM(M55:O69)),IF($I$51="Unique",(SUM(M55:O69)*1),"")))))</f>
        <v>441000000</v>
      </c>
      <c r="N70" s="398"/>
      <c r="O70" s="398"/>
      <c r="P70" s="404">
        <f>IF(I12="Bon de commande",(SUM(P55:R69)*1),IF($I$51="Journalière",((SUM(P55:R69)*$P$51)),IF($I$51="Hebdomadaire",(SUM(P55:R69)*4),IF($I$51="Mensuelle",(SUM(P55:R69)),IF($I$51="Unique",(SUM(P55:R69)*1),"")))))</f>
        <v>288900000</v>
      </c>
      <c r="Q70" s="398"/>
      <c r="R70" s="398"/>
      <c r="S70" s="143"/>
      <c r="T70" s="144">
        <f t="shared" si="1"/>
        <v>0.3448979591836735</v>
      </c>
      <c r="V70" s="138"/>
    </row>
    <row r="71" spans="1:22">
      <c r="B71" s="106"/>
      <c r="C71" s="106"/>
      <c r="D71" s="106"/>
      <c r="E71" s="106"/>
      <c r="F71" s="106"/>
      <c r="G71" s="106"/>
      <c r="H71" s="106"/>
      <c r="I71" s="106"/>
      <c r="J71" s="106"/>
      <c r="K71" s="106"/>
      <c r="L71" s="106"/>
      <c r="M71" s="106"/>
      <c r="N71" s="106"/>
      <c r="O71" s="106"/>
      <c r="P71" s="106"/>
      <c r="Q71" s="106"/>
      <c r="R71" s="106"/>
      <c r="S71" s="106"/>
      <c r="T71" s="106"/>
    </row>
    <row r="73" spans="1:22" s="3" customFormat="1">
      <c r="A73" s="110" t="s">
        <v>270</v>
      </c>
      <c r="B73" s="352" t="s">
        <v>271</v>
      </c>
      <c r="C73" s="352"/>
      <c r="D73" s="352"/>
      <c r="E73" s="352"/>
      <c r="F73" s="352"/>
      <c r="G73" s="352"/>
      <c r="H73" s="352"/>
      <c r="I73" s="352"/>
      <c r="J73" s="111"/>
      <c r="K73" s="111"/>
      <c r="L73" s="111"/>
      <c r="M73" s="111"/>
      <c r="N73" s="111"/>
      <c r="O73" s="111"/>
      <c r="P73" s="111"/>
      <c r="Q73" s="111"/>
      <c r="R73" s="111"/>
      <c r="S73" s="111"/>
      <c r="T73" s="111"/>
      <c r="U73" s="137"/>
    </row>
    <row r="74" spans="1:22" s="3" customFormat="1">
      <c r="A74" s="140"/>
      <c r="U74" s="137"/>
    </row>
    <row r="75" spans="1:22">
      <c r="B75" s="341" t="s">
        <v>272</v>
      </c>
      <c r="C75" s="341"/>
      <c r="D75" s="341"/>
      <c r="E75" s="341"/>
      <c r="F75" s="341"/>
      <c r="G75" s="341"/>
      <c r="H75" s="341"/>
      <c r="I75" s="132" t="s">
        <v>273</v>
      </c>
      <c r="K75" s="345" t="str">
        <f>IF(I75="OUI","Est-ce votre propriété ?","")</f>
        <v/>
      </c>
      <c r="L75" s="345"/>
      <c r="M75" s="345"/>
      <c r="N75" s="345"/>
      <c r="P75" s="61" t="s">
        <v>273</v>
      </c>
    </row>
    <row r="76" spans="1:22">
      <c r="K76" s="345" t="str">
        <f>IF(P75="OUI","Évalués  à :","")</f>
        <v/>
      </c>
      <c r="L76" s="345"/>
      <c r="M76" s="345"/>
      <c r="N76" s="345"/>
      <c r="O76" s="345"/>
      <c r="P76" s="405"/>
      <c r="Q76" s="405"/>
      <c r="R76" s="405"/>
      <c r="S76" s="405"/>
    </row>
    <row r="78" spans="1:22">
      <c r="B78" s="341" t="s">
        <v>274</v>
      </c>
      <c r="C78" s="341"/>
      <c r="D78" s="341"/>
      <c r="E78" s="341"/>
      <c r="F78" s="341"/>
      <c r="G78" s="341"/>
      <c r="H78" s="341"/>
      <c r="I78" s="132" t="s">
        <v>273</v>
      </c>
      <c r="K78" s="345" t="str">
        <f>IF(I78="OUI","Est-ce votre propriété ?","")</f>
        <v/>
      </c>
      <c r="L78" s="345"/>
      <c r="M78" s="345"/>
      <c r="N78" s="345"/>
      <c r="P78" s="61" t="s">
        <v>273</v>
      </c>
    </row>
    <row r="79" spans="1:22">
      <c r="B79" s="406" t="str">
        <f>IF(P78="OUI","Référez-vous à la feuille _ Amorts","")</f>
        <v/>
      </c>
      <c r="C79" s="406"/>
      <c r="D79" s="406"/>
      <c r="E79" s="406"/>
      <c r="F79" s="406"/>
      <c r="G79" s="406"/>
      <c r="H79" s="406"/>
      <c r="I79" s="406"/>
      <c r="J79" s="406"/>
      <c r="K79" s="406"/>
      <c r="L79" s="406"/>
      <c r="M79" s="406"/>
      <c r="N79" s="406"/>
      <c r="O79" s="406"/>
      <c r="P79" s="406"/>
      <c r="Q79" s="406"/>
      <c r="R79" s="406"/>
      <c r="S79" s="406"/>
    </row>
    <row r="81" spans="2:19">
      <c r="B81" s="341" t="s">
        <v>275</v>
      </c>
      <c r="C81" s="341"/>
      <c r="D81" s="341"/>
      <c r="E81" s="341"/>
      <c r="F81" s="341"/>
      <c r="G81" s="341"/>
      <c r="H81" s="407"/>
      <c r="I81" s="142" t="s">
        <v>268</v>
      </c>
      <c r="K81" s="345" t="str">
        <f>IF(I81="OUI","Est-ce votre propriété ?","")</f>
        <v>Est-ce votre propriété ?</v>
      </c>
      <c r="L81" s="345"/>
      <c r="M81" s="345"/>
      <c r="N81" s="345"/>
      <c r="P81" s="61" t="s">
        <v>268</v>
      </c>
    </row>
    <row r="82" spans="2:19">
      <c r="B82" s="406" t="str">
        <f>IF(P81="OUI","Référez-vous à la feuille _ Amorts","")</f>
        <v>Référez-vous à la feuille _ Amorts</v>
      </c>
      <c r="C82" s="406"/>
      <c r="D82" s="406"/>
      <c r="E82" s="406"/>
      <c r="F82" s="406"/>
      <c r="G82" s="406"/>
      <c r="H82" s="406"/>
      <c r="I82" s="406"/>
      <c r="J82" s="406"/>
      <c r="K82" s="406"/>
      <c r="L82" s="406"/>
      <c r="M82" s="406"/>
      <c r="N82" s="406"/>
      <c r="O82" s="406"/>
      <c r="P82" s="406"/>
      <c r="Q82" s="406"/>
      <c r="R82" s="406"/>
      <c r="S82" s="406"/>
    </row>
    <row r="84" spans="2:19">
      <c r="B84" s="341" t="s">
        <v>276</v>
      </c>
      <c r="C84" s="341"/>
      <c r="D84" s="341"/>
      <c r="E84" s="341"/>
      <c r="F84" s="341"/>
      <c r="G84" s="341"/>
      <c r="H84" s="407"/>
      <c r="I84" s="142" t="s">
        <v>268</v>
      </c>
      <c r="K84" s="345" t="str">
        <f>IF(I84="OUI","Est-ce votre propriété ?","")</f>
        <v>Est-ce votre propriété ?</v>
      </c>
      <c r="L84" s="345"/>
      <c r="M84" s="345"/>
      <c r="N84" s="345"/>
      <c r="O84" s="107"/>
      <c r="P84" s="61" t="s">
        <v>268</v>
      </c>
    </row>
    <row r="85" spans="2:19">
      <c r="B85" s="406" t="str">
        <f>IF(P84="OUI","Référez-vous à la feuille _ Amorts","")</f>
        <v>Référez-vous à la feuille _ Amorts</v>
      </c>
      <c r="C85" s="406"/>
      <c r="D85" s="406"/>
      <c r="E85" s="406"/>
      <c r="F85" s="406"/>
      <c r="G85" s="406"/>
      <c r="H85" s="406"/>
      <c r="I85" s="406"/>
      <c r="J85" s="406"/>
      <c r="K85" s="406"/>
      <c r="L85" s="406"/>
      <c r="M85" s="406"/>
      <c r="N85" s="406"/>
      <c r="O85" s="406"/>
      <c r="P85" s="406"/>
      <c r="Q85" s="406"/>
      <c r="R85" s="406"/>
      <c r="S85" s="406"/>
    </row>
    <row r="87" spans="2:19">
      <c r="B87" s="341" t="s">
        <v>277</v>
      </c>
      <c r="C87" s="341"/>
      <c r="D87" s="341"/>
      <c r="E87" s="341"/>
      <c r="F87" s="341"/>
      <c r="G87" s="341"/>
      <c r="H87" s="407"/>
      <c r="I87" s="142" t="s">
        <v>268</v>
      </c>
      <c r="K87" s="345" t="str">
        <f>IF(I87="OUI","Est-ce votre propriété ?","")</f>
        <v>Est-ce votre propriété ?</v>
      </c>
      <c r="L87" s="345"/>
      <c r="M87" s="345"/>
      <c r="N87" s="345"/>
      <c r="P87" s="61" t="s">
        <v>268</v>
      </c>
    </row>
    <row r="88" spans="2:19">
      <c r="B88" s="406" t="str">
        <f>IF(P87="OUI","Référez-vous à la feuille _ Amorts","")</f>
        <v>Référez-vous à la feuille _ Amorts</v>
      </c>
      <c r="C88" s="406"/>
      <c r="D88" s="406"/>
      <c r="E88" s="406"/>
      <c r="F88" s="406"/>
      <c r="G88" s="406"/>
      <c r="H88" s="406"/>
      <c r="I88" s="406"/>
      <c r="J88" s="406"/>
      <c r="K88" s="406"/>
      <c r="L88" s="406"/>
      <c r="M88" s="406"/>
      <c r="N88" s="406"/>
      <c r="O88" s="406"/>
      <c r="P88" s="406"/>
      <c r="Q88" s="406"/>
      <c r="R88" s="406"/>
      <c r="S88" s="406"/>
    </row>
    <row r="90" spans="2:19">
      <c r="B90" s="341" t="s">
        <v>278</v>
      </c>
      <c r="C90" s="341"/>
      <c r="D90" s="341"/>
      <c r="E90" s="341"/>
      <c r="F90" s="341"/>
      <c r="G90" s="341"/>
      <c r="H90" s="407"/>
      <c r="I90" s="142" t="s">
        <v>273</v>
      </c>
      <c r="K90" s="345" t="str">
        <f>IF(I90="OUI","Est-ce votre propriété ?","")</f>
        <v/>
      </c>
      <c r="L90" s="345"/>
      <c r="M90" s="345"/>
      <c r="N90" s="345"/>
      <c r="P90" s="61" t="s">
        <v>273</v>
      </c>
    </row>
    <row r="91" spans="2:19">
      <c r="B91" s="406" t="str">
        <f>IF(P90="OUI","Référez-vous à la feuille _ Amorts","")</f>
        <v/>
      </c>
      <c r="C91" s="406"/>
      <c r="D91" s="406"/>
      <c r="E91" s="406"/>
      <c r="F91" s="406"/>
      <c r="G91" s="406"/>
      <c r="H91" s="406"/>
      <c r="I91" s="406"/>
      <c r="J91" s="406"/>
      <c r="K91" s="406"/>
      <c r="L91" s="406"/>
      <c r="M91" s="406"/>
      <c r="N91" s="406"/>
      <c r="O91" s="406"/>
      <c r="P91" s="406"/>
      <c r="Q91" s="406"/>
      <c r="R91" s="406"/>
      <c r="S91" s="406"/>
    </row>
    <row r="93" spans="2:19">
      <c r="B93" s="341" t="s">
        <v>279</v>
      </c>
      <c r="C93" s="341"/>
      <c r="D93" s="341"/>
      <c r="E93" s="341"/>
      <c r="F93" s="341"/>
      <c r="G93" s="341"/>
      <c r="H93" s="407"/>
      <c r="I93" s="142" t="s">
        <v>268</v>
      </c>
      <c r="K93" s="345" t="str">
        <f>IF(I93="OUI","Vous pouvez évaluer le montant total ?","")</f>
        <v>Vous pouvez évaluer le montant total ?</v>
      </c>
      <c r="L93" s="345"/>
      <c r="M93" s="345"/>
      <c r="N93" s="345"/>
      <c r="O93" s="345"/>
      <c r="P93" s="61" t="s">
        <v>268</v>
      </c>
    </row>
    <row r="94" spans="2:19">
      <c r="K94" s="345" t="str">
        <f>IF(P93="OUI","Évalués  à :","")</f>
        <v>Évalués  à :</v>
      </c>
      <c r="L94" s="345"/>
      <c r="M94" s="345"/>
      <c r="N94" s="345"/>
      <c r="O94" s="345"/>
      <c r="P94" s="405">
        <v>6000000</v>
      </c>
      <c r="Q94" s="405"/>
      <c r="R94" s="405"/>
      <c r="S94" s="405"/>
    </row>
    <row r="96" spans="2:19">
      <c r="B96" s="341" t="s">
        <v>280</v>
      </c>
      <c r="C96" s="341"/>
      <c r="D96" s="341"/>
      <c r="E96" s="341"/>
      <c r="F96" s="341"/>
      <c r="G96" s="341"/>
      <c r="H96" s="407"/>
      <c r="I96" s="142" t="s">
        <v>273</v>
      </c>
      <c r="K96" s="345" t="str">
        <f>IF(I96="OUI","Est-ce avec les fonds de l'activité ?","")</f>
        <v/>
      </c>
      <c r="L96" s="345"/>
      <c r="M96" s="345"/>
      <c r="N96" s="345"/>
      <c r="O96" s="345"/>
      <c r="P96" s="61"/>
    </row>
    <row r="97" spans="2:19">
      <c r="K97" s="345" t="str">
        <f>IF(P96="OUI","Évalués  à :","")</f>
        <v/>
      </c>
      <c r="L97" s="345"/>
      <c r="M97" s="345"/>
      <c r="N97" s="345"/>
      <c r="O97" s="345"/>
      <c r="P97" s="405"/>
      <c r="Q97" s="405"/>
      <c r="R97" s="405"/>
      <c r="S97" s="405"/>
    </row>
    <row r="99" spans="2:19">
      <c r="B99" s="341" t="str">
        <f>IF(I12="Bon de commande","i) Avez-vous déjà exécuté une partie des travaux ?","i) Avez-vous un stock de marchandises à vendre")</f>
        <v>i) Avez-vous un stock de marchandises à vendre</v>
      </c>
      <c r="C99" s="341"/>
      <c r="D99" s="341"/>
      <c r="E99" s="341"/>
      <c r="F99" s="341"/>
      <c r="G99" s="341"/>
      <c r="H99" s="407"/>
      <c r="I99" s="142" t="s">
        <v>268</v>
      </c>
      <c r="K99" s="345" t="str">
        <f>IF(I99="OUI","Avez-vous une idée de sa valeur ?","")</f>
        <v>Avez-vous une idée de sa valeur ?</v>
      </c>
      <c r="L99" s="345"/>
      <c r="M99" s="345"/>
      <c r="N99" s="345"/>
      <c r="O99" s="345"/>
      <c r="P99" s="61" t="s">
        <v>268</v>
      </c>
    </row>
    <row r="100" spans="2:19">
      <c r="K100" s="345" t="str">
        <f>IF(P99="OUI","Évalués  à :","")</f>
        <v>Évalués  à :</v>
      </c>
      <c r="L100" s="345"/>
      <c r="M100" s="345"/>
      <c r="N100" s="345"/>
      <c r="O100" s="345"/>
      <c r="P100" s="405">
        <v>62510000</v>
      </c>
      <c r="Q100" s="405"/>
      <c r="R100" s="405"/>
      <c r="S100" s="405"/>
    </row>
    <row r="101" spans="2:19">
      <c r="C101" s="408" t="s">
        <v>281</v>
      </c>
      <c r="D101" s="408"/>
      <c r="E101" s="408"/>
      <c r="F101" s="408"/>
      <c r="G101" s="408"/>
      <c r="I101" s="142" t="s">
        <v>268</v>
      </c>
    </row>
    <row r="103" spans="2:19">
      <c r="B103" s="409" t="str">
        <f>IF(I101="OUI","Évaluation du stock disponible","")</f>
        <v>Évaluation du stock disponible</v>
      </c>
      <c r="C103" s="409"/>
      <c r="D103" s="409"/>
      <c r="E103" s="409"/>
      <c r="F103" s="409"/>
      <c r="G103" s="409"/>
      <c r="H103" s="409"/>
      <c r="I103" s="409"/>
      <c r="J103" s="409"/>
      <c r="K103" s="409"/>
      <c r="L103" s="409"/>
      <c r="M103" s="409"/>
      <c r="N103" s="409"/>
      <c r="O103" s="409"/>
      <c r="P103" s="409"/>
      <c r="Q103" s="112"/>
      <c r="R103" s="112"/>
      <c r="S103" s="112"/>
    </row>
    <row r="104" spans="2:19">
      <c r="B104" s="410" t="str">
        <f>IF(I101="OUI","Produits ou Articles (les principaux)","")</f>
        <v>Produits ou Articles (les principaux)</v>
      </c>
      <c r="C104" s="410"/>
      <c r="D104" s="410"/>
      <c r="E104" s="410"/>
      <c r="F104" s="410"/>
      <c r="G104" s="410"/>
      <c r="H104" s="411" t="str">
        <f>IF(I101="OUI","Quantité","")</f>
        <v>Quantité</v>
      </c>
      <c r="I104" s="411"/>
      <c r="J104" s="410" t="str">
        <f>IF(I101="OUI","Coûts d'achats","")</f>
        <v>Coûts d'achats</v>
      </c>
      <c r="K104" s="410"/>
      <c r="L104" s="410"/>
      <c r="M104" s="411" t="str">
        <f>IF(I101="OUI","Valeur du Stock","")</f>
        <v>Valeur du Stock</v>
      </c>
      <c r="N104" s="411"/>
      <c r="O104" s="411"/>
      <c r="P104" s="411"/>
      <c r="Q104" s="112"/>
      <c r="R104" s="112"/>
      <c r="S104" s="112"/>
    </row>
    <row r="105" spans="2:19" ht="2.65" customHeight="1">
      <c r="B105" s="410"/>
      <c r="C105" s="410"/>
      <c r="D105" s="410"/>
      <c r="E105" s="410"/>
      <c r="F105" s="410"/>
      <c r="G105" s="410"/>
      <c r="H105" s="410"/>
      <c r="I105" s="410"/>
      <c r="J105" s="410"/>
      <c r="K105" s="410"/>
      <c r="L105" s="410"/>
      <c r="M105" s="410"/>
      <c r="N105" s="410"/>
      <c r="O105" s="410"/>
      <c r="P105" s="410"/>
      <c r="Q105" s="112"/>
      <c r="R105" s="112"/>
      <c r="S105" s="112"/>
    </row>
    <row r="106" spans="2:19">
      <c r="B106" s="412" t="s">
        <v>443</v>
      </c>
      <c r="C106" s="412"/>
      <c r="D106" s="412"/>
      <c r="E106" s="412"/>
      <c r="F106" s="412"/>
      <c r="G106" s="412"/>
      <c r="H106" s="413">
        <v>18</v>
      </c>
      <c r="I106" s="413"/>
      <c r="J106" s="413">
        <v>180000</v>
      </c>
      <c r="K106" s="413"/>
      <c r="L106" s="413"/>
      <c r="M106" s="414">
        <f>IF($I$101="OUI",J106*H106,"")</f>
        <v>3240000</v>
      </c>
      <c r="N106" s="414"/>
      <c r="O106" s="414"/>
      <c r="P106" s="414"/>
      <c r="Q106" s="112"/>
      <c r="R106" s="112"/>
      <c r="S106" s="112"/>
    </row>
    <row r="107" spans="2:19">
      <c r="B107" s="412" t="s">
        <v>444</v>
      </c>
      <c r="C107" s="412"/>
      <c r="D107" s="412"/>
      <c r="E107" s="412"/>
      <c r="F107" s="412"/>
      <c r="G107" s="412"/>
      <c r="H107" s="413">
        <v>16</v>
      </c>
      <c r="I107" s="413"/>
      <c r="J107" s="413">
        <v>350000</v>
      </c>
      <c r="K107" s="413"/>
      <c r="L107" s="413"/>
      <c r="M107" s="414">
        <f t="shared" ref="M107:M120" si="3">IF($I$101="OUI",J107*H107,"")</f>
        <v>5600000</v>
      </c>
      <c r="N107" s="414"/>
      <c r="O107" s="414"/>
      <c r="P107" s="414"/>
      <c r="Q107" s="112"/>
      <c r="R107" s="112"/>
      <c r="S107" s="112"/>
    </row>
    <row r="108" spans="2:19">
      <c r="B108" s="412" t="s">
        <v>445</v>
      </c>
      <c r="C108" s="412"/>
      <c r="D108" s="412"/>
      <c r="E108" s="412"/>
      <c r="F108" s="412"/>
      <c r="G108" s="412"/>
      <c r="H108" s="413">
        <v>20</v>
      </c>
      <c r="I108" s="413"/>
      <c r="J108" s="413">
        <v>150000</v>
      </c>
      <c r="K108" s="413"/>
      <c r="L108" s="413"/>
      <c r="M108" s="414">
        <f t="shared" si="3"/>
        <v>3000000</v>
      </c>
      <c r="N108" s="414"/>
      <c r="O108" s="414"/>
      <c r="P108" s="414"/>
      <c r="Q108" s="112"/>
      <c r="R108" s="112"/>
      <c r="S108" s="112"/>
    </row>
    <row r="109" spans="2:19">
      <c r="B109" s="412" t="s">
        <v>446</v>
      </c>
      <c r="C109" s="412"/>
      <c r="D109" s="412"/>
      <c r="E109" s="412"/>
      <c r="F109" s="412"/>
      <c r="G109" s="412"/>
      <c r="H109" s="413">
        <v>30</v>
      </c>
      <c r="I109" s="413"/>
      <c r="J109" s="413">
        <v>150000</v>
      </c>
      <c r="K109" s="413"/>
      <c r="L109" s="413"/>
      <c r="M109" s="414">
        <f t="shared" si="3"/>
        <v>4500000</v>
      </c>
      <c r="N109" s="414"/>
      <c r="O109" s="414"/>
      <c r="P109" s="414"/>
      <c r="Q109" s="112"/>
      <c r="R109" s="112"/>
      <c r="S109" s="112"/>
    </row>
    <row r="110" spans="2:19">
      <c r="B110" s="412" t="s">
        <v>447</v>
      </c>
      <c r="C110" s="412"/>
      <c r="D110" s="412"/>
      <c r="E110" s="412"/>
      <c r="F110" s="412"/>
      <c r="G110" s="412"/>
      <c r="H110" s="413">
        <v>38</v>
      </c>
      <c r="I110" s="413"/>
      <c r="J110" s="413">
        <v>100000</v>
      </c>
      <c r="K110" s="413"/>
      <c r="L110" s="413"/>
      <c r="M110" s="414">
        <f t="shared" si="3"/>
        <v>3800000</v>
      </c>
      <c r="N110" s="414"/>
      <c r="O110" s="414"/>
      <c r="P110" s="414"/>
      <c r="Q110" s="112"/>
      <c r="R110" s="112"/>
      <c r="S110" s="112"/>
    </row>
    <row r="111" spans="2:19">
      <c r="B111" s="412" t="s">
        <v>448</v>
      </c>
      <c r="C111" s="412"/>
      <c r="D111" s="412"/>
      <c r="E111" s="412"/>
      <c r="F111" s="412"/>
      <c r="G111" s="412"/>
      <c r="H111" s="413">
        <v>20</v>
      </c>
      <c r="I111" s="413"/>
      <c r="J111" s="413">
        <v>240000</v>
      </c>
      <c r="K111" s="413"/>
      <c r="L111" s="413"/>
      <c r="M111" s="414">
        <f t="shared" si="3"/>
        <v>4800000</v>
      </c>
      <c r="N111" s="414"/>
      <c r="O111" s="414"/>
      <c r="P111" s="414"/>
      <c r="Q111" s="112"/>
      <c r="R111" s="112"/>
      <c r="S111" s="112"/>
    </row>
    <row r="112" spans="2:19">
      <c r="B112" s="412" t="s">
        <v>449</v>
      </c>
      <c r="C112" s="412"/>
      <c r="D112" s="412"/>
      <c r="E112" s="412"/>
      <c r="F112" s="412"/>
      <c r="G112" s="412"/>
      <c r="H112" s="413">
        <v>30</v>
      </c>
      <c r="I112" s="413"/>
      <c r="J112" s="413">
        <v>600000</v>
      </c>
      <c r="K112" s="413"/>
      <c r="L112" s="413"/>
      <c r="M112" s="414">
        <f t="shared" si="3"/>
        <v>18000000</v>
      </c>
      <c r="N112" s="414"/>
      <c r="O112" s="414"/>
      <c r="P112" s="414"/>
      <c r="Q112" s="112"/>
      <c r="R112" s="112"/>
      <c r="S112" s="112"/>
    </row>
    <row r="113" spans="2:19">
      <c r="B113" s="412" t="s">
        <v>450</v>
      </c>
      <c r="C113" s="412"/>
      <c r="D113" s="412"/>
      <c r="E113" s="412"/>
      <c r="F113" s="412"/>
      <c r="G113" s="412"/>
      <c r="H113" s="413">
        <v>25</v>
      </c>
      <c r="I113" s="413"/>
      <c r="J113" s="413">
        <v>100000</v>
      </c>
      <c r="K113" s="413"/>
      <c r="L113" s="413"/>
      <c r="M113" s="414">
        <f t="shared" si="3"/>
        <v>2500000</v>
      </c>
      <c r="N113" s="414"/>
      <c r="O113" s="414"/>
      <c r="P113" s="414"/>
      <c r="Q113" s="112"/>
      <c r="R113" s="112"/>
      <c r="S113" s="112"/>
    </row>
    <row r="114" spans="2:19">
      <c r="B114" s="412" t="s">
        <v>451</v>
      </c>
      <c r="C114" s="412"/>
      <c r="D114" s="412"/>
      <c r="E114" s="412"/>
      <c r="F114" s="412"/>
      <c r="G114" s="412"/>
      <c r="H114" s="413">
        <v>19</v>
      </c>
      <c r="I114" s="413"/>
      <c r="J114" s="413">
        <v>130000</v>
      </c>
      <c r="K114" s="413"/>
      <c r="L114" s="413"/>
      <c r="M114" s="414">
        <f t="shared" si="3"/>
        <v>2470000</v>
      </c>
      <c r="N114" s="414"/>
      <c r="O114" s="414"/>
      <c r="P114" s="414"/>
      <c r="Q114" s="112"/>
      <c r="R114" s="112"/>
      <c r="S114" s="112"/>
    </row>
    <row r="115" spans="2:19">
      <c r="B115" s="412" t="s">
        <v>463</v>
      </c>
      <c r="C115" s="412"/>
      <c r="D115" s="412"/>
      <c r="E115" s="412"/>
      <c r="F115" s="412"/>
      <c r="G115" s="412"/>
      <c r="H115" s="413">
        <v>30</v>
      </c>
      <c r="I115" s="413"/>
      <c r="J115" s="413">
        <v>200000</v>
      </c>
      <c r="K115" s="413"/>
      <c r="L115" s="413"/>
      <c r="M115" s="414">
        <f t="shared" si="3"/>
        <v>6000000</v>
      </c>
      <c r="N115" s="414"/>
      <c r="O115" s="414"/>
      <c r="P115" s="414"/>
      <c r="Q115" s="112"/>
      <c r="R115" s="112"/>
      <c r="S115" s="112"/>
    </row>
    <row r="116" spans="2:19">
      <c r="B116" s="412" t="s">
        <v>461</v>
      </c>
      <c r="C116" s="412"/>
      <c r="D116" s="412"/>
      <c r="E116" s="412"/>
      <c r="F116" s="412"/>
      <c r="G116" s="412"/>
      <c r="H116" s="413">
        <v>50</v>
      </c>
      <c r="I116" s="413"/>
      <c r="J116" s="413">
        <v>100000</v>
      </c>
      <c r="K116" s="413"/>
      <c r="L116" s="413"/>
      <c r="M116" s="414">
        <f t="shared" si="3"/>
        <v>5000000</v>
      </c>
      <c r="N116" s="414"/>
      <c r="O116" s="414"/>
      <c r="P116" s="414"/>
      <c r="Q116" s="112"/>
      <c r="R116" s="112"/>
      <c r="S116" s="112"/>
    </row>
    <row r="117" spans="2:19">
      <c r="B117" s="412" t="s">
        <v>452</v>
      </c>
      <c r="C117" s="412"/>
      <c r="D117" s="412"/>
      <c r="E117" s="412"/>
      <c r="F117" s="412"/>
      <c r="G117" s="412"/>
      <c r="H117" s="413">
        <v>40</v>
      </c>
      <c r="I117" s="413"/>
      <c r="J117" s="413">
        <v>90000</v>
      </c>
      <c r="K117" s="413"/>
      <c r="L117" s="413"/>
      <c r="M117" s="414">
        <f t="shared" si="3"/>
        <v>3600000</v>
      </c>
      <c r="N117" s="414"/>
      <c r="O117" s="414"/>
      <c r="P117" s="414"/>
      <c r="Q117" s="112"/>
      <c r="R117" s="112"/>
      <c r="S117" s="112"/>
    </row>
    <row r="118" spans="2:19">
      <c r="B118" s="412"/>
      <c r="C118" s="412"/>
      <c r="D118" s="412"/>
      <c r="E118" s="412"/>
      <c r="F118" s="412"/>
      <c r="G118" s="412"/>
      <c r="H118" s="413"/>
      <c r="I118" s="413"/>
      <c r="J118" s="413"/>
      <c r="K118" s="413"/>
      <c r="L118" s="413"/>
      <c r="M118" s="414">
        <f t="shared" si="3"/>
        <v>0</v>
      </c>
      <c r="N118" s="414"/>
      <c r="O118" s="414"/>
      <c r="P118" s="414"/>
      <c r="Q118" s="112"/>
      <c r="R118" s="112"/>
      <c r="S118" s="112"/>
    </row>
    <row r="119" spans="2:19">
      <c r="B119" s="412"/>
      <c r="C119" s="412"/>
      <c r="D119" s="412"/>
      <c r="E119" s="412"/>
      <c r="F119" s="412"/>
      <c r="G119" s="412"/>
      <c r="H119" s="413"/>
      <c r="I119" s="413"/>
      <c r="J119" s="413"/>
      <c r="K119" s="413"/>
      <c r="L119" s="413"/>
      <c r="M119" s="414">
        <f t="shared" si="3"/>
        <v>0</v>
      </c>
      <c r="N119" s="414"/>
      <c r="O119" s="414"/>
      <c r="P119" s="414"/>
      <c r="Q119" s="112"/>
      <c r="R119" s="112"/>
      <c r="S119" s="112"/>
    </row>
    <row r="120" spans="2:19">
      <c r="B120" s="412"/>
      <c r="C120" s="412"/>
      <c r="D120" s="412"/>
      <c r="E120" s="412"/>
      <c r="F120" s="412"/>
      <c r="G120" s="412"/>
      <c r="H120" s="413"/>
      <c r="I120" s="413"/>
      <c r="J120" s="413"/>
      <c r="K120" s="413"/>
      <c r="L120" s="413"/>
      <c r="M120" s="414">
        <f t="shared" si="3"/>
        <v>0</v>
      </c>
      <c r="N120" s="414"/>
      <c r="O120" s="414"/>
      <c r="P120" s="414"/>
      <c r="Q120" s="112"/>
      <c r="R120" s="112"/>
      <c r="S120" s="112"/>
    </row>
    <row r="121" spans="2:19">
      <c r="B121" s="112"/>
      <c r="C121" s="112"/>
      <c r="D121" s="112"/>
      <c r="E121" s="112"/>
      <c r="F121" s="112"/>
      <c r="G121" s="112"/>
      <c r="H121" s="112"/>
      <c r="I121" s="112"/>
      <c r="J121" s="409" t="str">
        <f>IF(I101="OUI","TOTAL","")</f>
        <v>TOTAL</v>
      </c>
      <c r="K121" s="409"/>
      <c r="L121" s="409"/>
      <c r="M121" s="415">
        <f>IF(I101="OUI",SUM(M106:P120),"")</f>
        <v>62510000</v>
      </c>
      <c r="N121" s="415"/>
      <c r="O121" s="415"/>
      <c r="P121" s="415"/>
      <c r="Q121" s="112"/>
      <c r="R121" s="112"/>
      <c r="S121" s="112"/>
    </row>
    <row r="123" spans="2:19">
      <c r="B123" s="341" t="s">
        <v>282</v>
      </c>
      <c r="C123" s="341"/>
      <c r="D123" s="341"/>
      <c r="E123" s="341"/>
      <c r="F123" s="341"/>
      <c r="G123" s="341"/>
      <c r="H123" s="407"/>
      <c r="I123" s="142" t="s">
        <v>273</v>
      </c>
      <c r="J123" s="344" t="str">
        <f>IF(I123="OUI","Avez-vous prévu obtenir un crédit fournisseur  ?","")</f>
        <v/>
      </c>
      <c r="K123" s="345"/>
      <c r="L123" s="345"/>
      <c r="M123" s="345"/>
      <c r="N123" s="345"/>
      <c r="O123" s="345"/>
      <c r="P123" s="61" t="s">
        <v>273</v>
      </c>
    </row>
    <row r="124" spans="2:19">
      <c r="K124" s="345" t="str">
        <f>IF(P123="OUI","Évalués  à :","")</f>
        <v/>
      </c>
      <c r="L124" s="345"/>
      <c r="M124" s="345"/>
      <c r="N124" s="345"/>
      <c r="O124" s="345"/>
      <c r="P124" s="416"/>
      <c r="Q124" s="416"/>
      <c r="R124" s="416"/>
      <c r="S124" s="416"/>
    </row>
    <row r="126" spans="2:19">
      <c r="B126" s="341" t="s">
        <v>283</v>
      </c>
      <c r="C126" s="341"/>
      <c r="D126" s="341"/>
      <c r="E126" s="341"/>
      <c r="F126" s="341"/>
      <c r="G126" s="341"/>
      <c r="H126" s="407"/>
      <c r="I126" s="142" t="s">
        <v>268</v>
      </c>
      <c r="K126" s="345" t="str">
        <f>IF(I126="OUI","Avez-vous une idée de sa valeur ?","")</f>
        <v>Avez-vous une idée de sa valeur ?</v>
      </c>
      <c r="L126" s="345"/>
      <c r="M126" s="345"/>
      <c r="N126" s="345"/>
      <c r="O126" s="345"/>
      <c r="P126" s="61" t="s">
        <v>268</v>
      </c>
    </row>
    <row r="128" spans="2:19">
      <c r="B128" s="112"/>
      <c r="C128" s="112"/>
      <c r="D128" s="112"/>
      <c r="E128" s="112"/>
      <c r="F128" s="112"/>
      <c r="G128" s="112"/>
      <c r="H128" s="417" t="str">
        <f>IF(P126="OUI","Évalués  à :","")</f>
        <v>Évalués  à :</v>
      </c>
      <c r="I128" s="417"/>
      <c r="J128" s="418">
        <v>10000000</v>
      </c>
      <c r="K128" s="418"/>
      <c r="L128" s="418"/>
      <c r="M128" s="418"/>
      <c r="N128" s="360" t="str">
        <f>IF(P126="OUI","Depuis plus de 3 mois","")</f>
        <v>Depuis plus de 3 mois</v>
      </c>
      <c r="O128" s="360"/>
      <c r="P128" s="360"/>
      <c r="Q128" s="360"/>
      <c r="R128" s="112"/>
      <c r="S128" s="112"/>
    </row>
    <row r="129" spans="2:19">
      <c r="B129" s="112"/>
      <c r="C129" s="112"/>
      <c r="D129" s="112"/>
      <c r="E129" s="112"/>
      <c r="F129" s="112"/>
      <c r="G129" s="112"/>
      <c r="H129" s="417" t="str">
        <f>IF(P126="OUI","Évalués  à :","")</f>
        <v>Évalués  à :</v>
      </c>
      <c r="I129" s="417"/>
      <c r="J129" s="418">
        <v>6500000</v>
      </c>
      <c r="K129" s="418"/>
      <c r="L129" s="418"/>
      <c r="M129" s="418"/>
      <c r="N129" s="360" t="str">
        <f>IF(P126="OUI","Moins de 3 mois","")</f>
        <v>Moins de 3 mois</v>
      </c>
      <c r="O129" s="360"/>
      <c r="P129" s="360"/>
      <c r="Q129" s="112"/>
      <c r="R129" s="112"/>
      <c r="S129" s="112"/>
    </row>
    <row r="131" spans="2:19">
      <c r="B131" s="341" t="s">
        <v>284</v>
      </c>
      <c r="C131" s="341"/>
      <c r="D131" s="341"/>
      <c r="E131" s="341"/>
      <c r="F131" s="341"/>
      <c r="G131" s="341"/>
      <c r="H131" s="407"/>
      <c r="I131" s="142" t="s">
        <v>273</v>
      </c>
      <c r="K131" s="345" t="str">
        <f>IF(I131="OUI","Avez-vous une idée du montant ?","")</f>
        <v/>
      </c>
      <c r="L131" s="345"/>
      <c r="M131" s="345"/>
      <c r="N131" s="345"/>
      <c r="O131" s="345"/>
      <c r="P131" s="61" t="s">
        <v>273</v>
      </c>
    </row>
    <row r="132" spans="2:19">
      <c r="K132" s="345" t="str">
        <f>IF(P131="OUI","Évalués  à :","")</f>
        <v/>
      </c>
      <c r="L132" s="345"/>
      <c r="M132" s="345"/>
      <c r="N132" s="345"/>
      <c r="O132" s="345"/>
      <c r="P132" s="416"/>
      <c r="Q132" s="416"/>
      <c r="R132" s="416"/>
      <c r="S132" s="416"/>
    </row>
    <row r="134" spans="2:19">
      <c r="B134" s="341" t="s">
        <v>285</v>
      </c>
      <c r="C134" s="341"/>
      <c r="D134" s="341"/>
      <c r="E134" s="341"/>
      <c r="F134" s="341"/>
      <c r="G134" s="341"/>
      <c r="H134" s="407"/>
      <c r="I134" s="142" t="s">
        <v>268</v>
      </c>
      <c r="K134" s="345" t="str">
        <f>IF(I134="OUI","Avez-vous une idée du montant ?","")</f>
        <v>Avez-vous une idée du montant ?</v>
      </c>
      <c r="L134" s="345"/>
      <c r="M134" s="345"/>
      <c r="N134" s="345"/>
      <c r="O134" s="345"/>
      <c r="P134" s="61" t="s">
        <v>268</v>
      </c>
    </row>
    <row r="135" spans="2:19">
      <c r="K135" s="345" t="str">
        <f>IF(P134="OUI","Évalués  à :","")</f>
        <v>Évalués  à :</v>
      </c>
      <c r="L135" s="345"/>
      <c r="M135" s="345"/>
      <c r="N135" s="345"/>
      <c r="O135" s="345"/>
      <c r="P135" s="416">
        <v>6000000</v>
      </c>
      <c r="Q135" s="416"/>
      <c r="R135" s="416"/>
      <c r="S135" s="416"/>
    </row>
    <row r="137" spans="2:19">
      <c r="B137" s="341" t="s">
        <v>286</v>
      </c>
      <c r="C137" s="341"/>
      <c r="D137" s="341"/>
      <c r="E137" s="341"/>
      <c r="F137" s="341"/>
      <c r="G137" s="341"/>
      <c r="H137" s="407"/>
      <c r="I137" s="142" t="s">
        <v>268</v>
      </c>
      <c r="K137" s="345" t="str">
        <f>IF(I137="OUI","Avez-vous une idée du montant ?","")</f>
        <v>Avez-vous une idée du montant ?</v>
      </c>
      <c r="L137" s="345"/>
      <c r="M137" s="345"/>
      <c r="N137" s="345"/>
      <c r="O137" s="345"/>
      <c r="P137" s="61" t="s">
        <v>268</v>
      </c>
    </row>
    <row r="138" spans="2:19">
      <c r="K138" s="345" t="str">
        <f>IF(P137="OUI","Évalués  à :","")</f>
        <v>Évalués  à :</v>
      </c>
      <c r="L138" s="345"/>
      <c r="M138" s="345"/>
      <c r="N138" s="345"/>
      <c r="O138" s="345"/>
      <c r="P138" s="416">
        <v>15000000</v>
      </c>
      <c r="Q138" s="416"/>
      <c r="R138" s="416"/>
      <c r="S138" s="416"/>
    </row>
    <row r="140" spans="2:19">
      <c r="B140" s="341" t="s">
        <v>287</v>
      </c>
      <c r="C140" s="341"/>
      <c r="D140" s="341"/>
      <c r="E140" s="341"/>
      <c r="F140" s="341"/>
      <c r="G140" s="341"/>
      <c r="H140" s="407"/>
      <c r="I140" s="142" t="s">
        <v>273</v>
      </c>
      <c r="K140" s="345" t="str">
        <f>IF(I140="OUI","Avez-vous une idée du montant ?","")</f>
        <v/>
      </c>
      <c r="L140" s="345"/>
      <c r="M140" s="345"/>
      <c r="N140" s="345"/>
      <c r="O140" s="345"/>
      <c r="P140" s="61"/>
    </row>
    <row r="141" spans="2:19">
      <c r="K141" s="345" t="str">
        <f>IF(P140="OUI","Évalués  à :","")</f>
        <v/>
      </c>
      <c r="L141" s="345"/>
      <c r="M141" s="345"/>
      <c r="N141" s="345"/>
      <c r="O141" s="345"/>
      <c r="P141" s="416"/>
      <c r="Q141" s="416"/>
      <c r="R141" s="416"/>
      <c r="S141" s="416"/>
    </row>
    <row r="143" spans="2:19">
      <c r="B143" s="341" t="s">
        <v>288</v>
      </c>
      <c r="C143" s="341"/>
      <c r="D143" s="341"/>
      <c r="E143" s="341"/>
      <c r="F143" s="341"/>
      <c r="G143" s="341"/>
      <c r="H143" s="407"/>
      <c r="I143" s="142" t="s">
        <v>273</v>
      </c>
      <c r="K143" s="345" t="str">
        <f>IF(I143="OUI","Avez-vous une idée du montant ?","")</f>
        <v/>
      </c>
      <c r="L143" s="345"/>
      <c r="M143" s="345"/>
      <c r="N143" s="345"/>
      <c r="O143" s="345"/>
      <c r="P143" s="61"/>
    </row>
    <row r="144" spans="2:19">
      <c r="K144" s="345" t="str">
        <f>IF(P143="OUI","Évalués  à :","")</f>
        <v/>
      </c>
      <c r="L144" s="345"/>
      <c r="M144" s="345"/>
      <c r="N144" s="345"/>
      <c r="O144" s="345"/>
      <c r="P144" s="416"/>
      <c r="Q144" s="416"/>
      <c r="R144" s="416"/>
      <c r="S144" s="416"/>
    </row>
    <row r="146" spans="2:19">
      <c r="B146" s="341" t="s">
        <v>289</v>
      </c>
      <c r="C146" s="341"/>
      <c r="D146" s="341"/>
      <c r="E146" s="341"/>
      <c r="F146" s="341"/>
      <c r="G146" s="341"/>
      <c r="H146" s="407"/>
      <c r="I146" s="142" t="s">
        <v>273</v>
      </c>
      <c r="K146" s="345" t="str">
        <f>IF(I146="OUI","Avez-vous une idée du montant ?","")</f>
        <v/>
      </c>
      <c r="L146" s="345"/>
      <c r="M146" s="345"/>
      <c r="N146" s="345"/>
      <c r="O146" s="345"/>
      <c r="P146" s="61"/>
    </row>
    <row r="147" spans="2:19">
      <c r="K147" s="345" t="str">
        <f>IF(P146="OUI","Évalués  à :","")</f>
        <v/>
      </c>
      <c r="L147" s="345"/>
      <c r="M147" s="345"/>
      <c r="N147" s="345"/>
      <c r="O147" s="345"/>
      <c r="P147" s="416"/>
      <c r="Q147" s="416"/>
      <c r="R147" s="416"/>
      <c r="S147" s="416"/>
    </row>
    <row r="148" spans="2:19">
      <c r="K148" s="107"/>
      <c r="L148" s="107"/>
      <c r="M148" s="107"/>
      <c r="N148" s="107"/>
      <c r="O148" s="107"/>
    </row>
    <row r="149" spans="2:19">
      <c r="B149" s="341" t="s">
        <v>290</v>
      </c>
      <c r="C149" s="341"/>
      <c r="D149" s="341"/>
      <c r="E149" s="341"/>
      <c r="F149" s="341"/>
      <c r="G149" s="341"/>
      <c r="H149" s="407"/>
      <c r="I149" s="142" t="s">
        <v>273</v>
      </c>
      <c r="K149" s="345" t="str">
        <f>IF(I149="OUI","Avez-vous une idée du montant ?","")</f>
        <v/>
      </c>
      <c r="L149" s="345"/>
      <c r="M149" s="345"/>
      <c r="N149" s="345"/>
      <c r="O149" s="345"/>
      <c r="P149" s="61"/>
    </row>
    <row r="150" spans="2:19">
      <c r="K150" s="345" t="str">
        <f>IF(P149="OUI","Évalués  à :","")</f>
        <v/>
      </c>
      <c r="L150" s="345"/>
      <c r="M150" s="345"/>
      <c r="N150" s="345"/>
      <c r="O150" s="345"/>
      <c r="P150" s="416"/>
      <c r="Q150" s="416"/>
      <c r="R150" s="416"/>
      <c r="S150" s="416"/>
    </row>
    <row r="152" spans="2:19">
      <c r="B152" s="341" t="s">
        <v>291</v>
      </c>
      <c r="C152" s="341"/>
      <c r="D152" s="341"/>
      <c r="E152" s="341"/>
      <c r="F152" s="341"/>
      <c r="G152" s="341"/>
      <c r="H152" s="407"/>
      <c r="I152" s="142" t="s">
        <v>273</v>
      </c>
      <c r="K152" s="345" t="str">
        <f>IF(I152="OUI","Avez-vous une idée du montant ?","")</f>
        <v/>
      </c>
      <c r="L152" s="345"/>
      <c r="M152" s="345"/>
      <c r="N152" s="345"/>
      <c r="O152" s="345"/>
      <c r="P152" s="61"/>
    </row>
    <row r="153" spans="2:19">
      <c r="K153" s="345" t="str">
        <f>IF(P152="OUI","Évalués  à :","")</f>
        <v/>
      </c>
      <c r="L153" s="345"/>
      <c r="M153" s="345"/>
      <c r="N153" s="345"/>
      <c r="O153" s="345"/>
      <c r="P153" s="416"/>
      <c r="Q153" s="416"/>
      <c r="R153" s="416"/>
      <c r="S153" s="416"/>
    </row>
    <row r="155" spans="2:19">
      <c r="B155" s="341" t="s">
        <v>292</v>
      </c>
      <c r="C155" s="341"/>
      <c r="D155" s="341"/>
      <c r="E155" s="341"/>
      <c r="F155" s="341"/>
      <c r="G155" s="341"/>
      <c r="H155" s="407"/>
      <c r="I155" s="142" t="s">
        <v>273</v>
      </c>
      <c r="K155" s="345" t="str">
        <f>IF(I155="OUI","Avez-vous une idée du montant ?","")</f>
        <v/>
      </c>
      <c r="L155" s="345"/>
      <c r="M155" s="345"/>
      <c r="N155" s="345"/>
      <c r="O155" s="345"/>
      <c r="P155" s="61"/>
    </row>
    <row r="156" spans="2:19">
      <c r="K156" s="345" t="str">
        <f>IF(P155="OUI","Évalués  à :","")</f>
        <v/>
      </c>
      <c r="L156" s="345"/>
      <c r="M156" s="345"/>
      <c r="N156" s="345"/>
      <c r="O156" s="345"/>
      <c r="P156" s="416"/>
      <c r="Q156" s="416"/>
      <c r="R156" s="416"/>
      <c r="S156" s="416"/>
    </row>
    <row r="158" spans="2:19">
      <c r="B158" s="341" t="s">
        <v>293</v>
      </c>
      <c r="C158" s="341"/>
      <c r="D158" s="341"/>
      <c r="E158" s="341"/>
      <c r="F158" s="341"/>
      <c r="G158" s="341"/>
      <c r="H158" s="407"/>
      <c r="I158" s="142" t="s">
        <v>273</v>
      </c>
      <c r="K158" s="345" t="str">
        <f>IF(I158="OUI","Avez-vous une idée du montant ?","")</f>
        <v/>
      </c>
      <c r="L158" s="345"/>
      <c r="M158" s="345"/>
      <c r="N158" s="345"/>
      <c r="O158" s="345"/>
      <c r="P158" s="61"/>
    </row>
    <row r="159" spans="2:19">
      <c r="K159" s="345" t="str">
        <f>IF(P158="OUI","Évalués  à :","")</f>
        <v/>
      </c>
      <c r="L159" s="345"/>
      <c r="M159" s="345"/>
      <c r="N159" s="345"/>
      <c r="O159" s="345"/>
      <c r="P159" s="416"/>
      <c r="Q159" s="416"/>
      <c r="R159" s="416"/>
      <c r="S159" s="416"/>
    </row>
    <row r="161" spans="1:21">
      <c r="B161" s="341" t="s">
        <v>294</v>
      </c>
      <c r="C161" s="341"/>
      <c r="D161" s="341"/>
      <c r="E161" s="341"/>
      <c r="F161" s="341"/>
      <c r="G161" s="341"/>
      <c r="H161" s="407"/>
      <c r="I161" s="142" t="s">
        <v>273</v>
      </c>
      <c r="K161" s="345" t="str">
        <f>IF(I161="OUI","Avez-vous une idée du montant ?","")</f>
        <v/>
      </c>
      <c r="L161" s="345"/>
      <c r="M161" s="345"/>
      <c r="N161" s="345"/>
      <c r="O161" s="345"/>
      <c r="P161" s="61"/>
    </row>
    <row r="162" spans="1:21">
      <c r="K162" s="345" t="str">
        <f>IF(P161="OUI","Évalués  à :","")</f>
        <v/>
      </c>
      <c r="L162" s="345"/>
      <c r="M162" s="345"/>
      <c r="N162" s="345"/>
      <c r="O162" s="345"/>
      <c r="P162" s="416"/>
      <c r="Q162" s="416"/>
      <c r="R162" s="416"/>
      <c r="S162" s="416"/>
    </row>
    <row r="164" spans="1:21">
      <c r="B164" s="341" t="s">
        <v>295</v>
      </c>
      <c r="C164" s="341"/>
      <c r="D164" s="341"/>
      <c r="E164" s="341"/>
      <c r="F164" s="341"/>
      <c r="G164" s="341"/>
      <c r="H164" s="407"/>
      <c r="I164" s="142" t="s">
        <v>273</v>
      </c>
      <c r="K164" s="345" t="str">
        <f>IF(I164="OUI","Avez-vous une idée du montant ?","")</f>
        <v/>
      </c>
      <c r="L164" s="345"/>
      <c r="M164" s="345"/>
      <c r="N164" s="345"/>
      <c r="O164" s="345"/>
      <c r="P164" s="61"/>
    </row>
    <row r="165" spans="1:21">
      <c r="K165" s="345" t="str">
        <f>IF(P164="OUI","Évalués  à :","")</f>
        <v/>
      </c>
      <c r="L165" s="345"/>
      <c r="M165" s="345"/>
      <c r="N165" s="345"/>
      <c r="O165" s="345"/>
      <c r="P165" s="419"/>
      <c r="Q165" s="419"/>
      <c r="R165" s="419"/>
      <c r="S165" s="419"/>
    </row>
    <row r="167" spans="1:21">
      <c r="B167" s="341" t="s">
        <v>296</v>
      </c>
      <c r="C167" s="341"/>
      <c r="D167" s="341"/>
      <c r="E167" s="341"/>
      <c r="F167" s="341"/>
      <c r="G167" s="341"/>
      <c r="H167" s="407"/>
      <c r="I167" s="142" t="s">
        <v>273</v>
      </c>
      <c r="K167" s="345" t="str">
        <f>IF(I167="OUI","Avez-vous une idée du montant restant ?","")</f>
        <v/>
      </c>
      <c r="L167" s="345"/>
      <c r="M167" s="345"/>
      <c r="N167" s="345"/>
      <c r="O167" s="345"/>
      <c r="P167" s="61"/>
    </row>
    <row r="168" spans="1:21">
      <c r="K168" s="345" t="str">
        <f>IF(P167="OUI","Évalués  à :","")</f>
        <v/>
      </c>
      <c r="L168" s="345"/>
      <c r="M168" s="345"/>
      <c r="N168" s="345"/>
      <c r="O168" s="345"/>
      <c r="P168" s="416"/>
      <c r="Q168" s="416"/>
      <c r="R168" s="416"/>
      <c r="S168" s="416"/>
    </row>
    <row r="169" spans="1:21">
      <c r="K169" s="107"/>
      <c r="L169" s="107"/>
      <c r="M169" s="107"/>
      <c r="N169" s="107"/>
      <c r="O169" s="107"/>
      <c r="P169" s="107"/>
      <c r="Q169" s="107"/>
      <c r="R169" s="107"/>
      <c r="S169" s="107"/>
      <c r="T169" s="107"/>
    </row>
    <row r="170" spans="1:21">
      <c r="B170" s="341" t="s">
        <v>297</v>
      </c>
      <c r="C170" s="341"/>
      <c r="D170" s="341"/>
      <c r="E170" s="341"/>
      <c r="F170" s="341"/>
      <c r="G170" s="341"/>
      <c r="H170" s="407"/>
      <c r="I170" s="142" t="s">
        <v>273</v>
      </c>
      <c r="K170" s="345" t="str">
        <f>IF(I170="OUI","Avez-vous une idée du montant ?","")</f>
        <v/>
      </c>
      <c r="L170" s="345"/>
      <c r="M170" s="345"/>
      <c r="N170" s="345"/>
      <c r="O170" s="345"/>
      <c r="P170" s="61"/>
      <c r="T170" s="107"/>
    </row>
    <row r="171" spans="1:21">
      <c r="K171" s="345" t="str">
        <f>IF(P170="OUI","Évalués  à :","")</f>
        <v/>
      </c>
      <c r="L171" s="345"/>
      <c r="M171" s="345"/>
      <c r="N171" s="345"/>
      <c r="O171" s="345"/>
      <c r="P171" s="416"/>
      <c r="Q171" s="416"/>
      <c r="R171" s="416"/>
      <c r="S171" s="416"/>
      <c r="T171" s="107"/>
    </row>
    <row r="172" spans="1:21">
      <c r="K172" s="107"/>
      <c r="L172" s="107"/>
      <c r="M172" s="107"/>
      <c r="N172" s="107"/>
      <c r="O172" s="107"/>
      <c r="P172" s="107"/>
      <c r="Q172" s="107"/>
      <c r="R172" s="107"/>
      <c r="S172" s="107"/>
      <c r="T172" s="107"/>
    </row>
    <row r="173" spans="1:21" s="3" customFormat="1">
      <c r="A173" s="110" t="s">
        <v>298</v>
      </c>
      <c r="B173" s="352" t="str">
        <f>IF(I12="Bon de commande","Évaluation des autres charges de l'entreprise sur toute la durée du bon de commande en dehors des coûts directs d'exécution","Évaluation des charges mensuelles de l'entreprise ou de l'activité")</f>
        <v>Évaluation des charges mensuelles de l'entreprise ou de l'activité</v>
      </c>
      <c r="C173" s="352"/>
      <c r="D173" s="352"/>
      <c r="E173" s="352"/>
      <c r="F173" s="352"/>
      <c r="G173" s="352"/>
      <c r="H173" s="352"/>
      <c r="I173" s="352"/>
      <c r="J173" s="352"/>
      <c r="K173" s="352"/>
      <c r="L173" s="352"/>
      <c r="M173" s="352"/>
      <c r="N173" s="352"/>
      <c r="O173" s="352"/>
      <c r="P173" s="352"/>
      <c r="Q173" s="352"/>
      <c r="R173" s="352"/>
      <c r="S173" s="352"/>
      <c r="T173" s="420"/>
      <c r="U173" s="137"/>
    </row>
    <row r="174" spans="1:21" s="3" customFormat="1">
      <c r="A174" s="140"/>
      <c r="B174" s="421" t="str">
        <f>IF(I12="Bon de commande","Attention ! Il ne s'agit pas des charges mensuelles mais le total de chaque charge pendant la période. Cela peut être sur 3 mois ou 6 mois ou 1 an, etc...","")</f>
        <v/>
      </c>
      <c r="C174" s="421"/>
      <c r="D174" s="421"/>
      <c r="E174" s="421"/>
      <c r="F174" s="421"/>
      <c r="G174" s="421"/>
      <c r="H174" s="421"/>
      <c r="I174" s="421"/>
      <c r="J174" s="421"/>
      <c r="K174" s="421"/>
      <c r="L174" s="421"/>
      <c r="M174" s="421"/>
      <c r="N174" s="421"/>
      <c r="O174" s="421"/>
      <c r="P174" s="421"/>
      <c r="Q174" s="421"/>
      <c r="R174" s="421"/>
      <c r="S174" s="421"/>
      <c r="T174" s="422"/>
      <c r="U174" s="137"/>
    </row>
    <row r="175" spans="1:21" ht="14.25">
      <c r="B175" s="341" t="s">
        <v>299</v>
      </c>
      <c r="C175" s="341"/>
      <c r="D175" s="341"/>
      <c r="E175" s="341"/>
      <c r="F175" s="341"/>
      <c r="G175" s="341"/>
      <c r="H175" s="407"/>
      <c r="I175" s="142" t="s">
        <v>268</v>
      </c>
      <c r="K175" s="345" t="str">
        <f>IF(I175="OUI","Avez-vous une idée du montant ?","")</f>
        <v>Avez-vous une idée du montant ?</v>
      </c>
      <c r="L175" s="345"/>
      <c r="M175" s="345"/>
      <c r="N175" s="345"/>
      <c r="O175" s="345"/>
      <c r="P175" s="61" t="s">
        <v>268</v>
      </c>
      <c r="U175" s="145"/>
    </row>
    <row r="176" spans="1:21" ht="14.25">
      <c r="K176" s="345" t="str">
        <f>IF(P175="OUI","Évalués  à :","")</f>
        <v>Évalués  à :</v>
      </c>
      <c r="L176" s="345"/>
      <c r="M176" s="345"/>
      <c r="N176" s="345"/>
      <c r="O176" s="345"/>
      <c r="P176" s="416">
        <v>1300000</v>
      </c>
      <c r="Q176" s="416"/>
      <c r="R176" s="416"/>
      <c r="S176" s="416"/>
      <c r="U176" s="145"/>
    </row>
    <row r="177" spans="2:21" ht="14.25">
      <c r="U177" s="145"/>
    </row>
    <row r="178" spans="2:21" ht="14.25">
      <c r="B178" s="341" t="s">
        <v>300</v>
      </c>
      <c r="C178" s="341"/>
      <c r="D178" s="341"/>
      <c r="E178" s="341"/>
      <c r="F178" s="341"/>
      <c r="G178" s="341"/>
      <c r="H178" s="407"/>
      <c r="I178" s="142" t="s">
        <v>268</v>
      </c>
      <c r="K178" s="345" t="str">
        <f>IF(I178="OUI","Avez-vous une idée du montant ?","")</f>
        <v>Avez-vous une idée du montant ?</v>
      </c>
      <c r="L178" s="345"/>
      <c r="M178" s="345"/>
      <c r="N178" s="345"/>
      <c r="O178" s="345"/>
      <c r="P178" s="61" t="s">
        <v>268</v>
      </c>
      <c r="U178" s="145"/>
    </row>
    <row r="179" spans="2:21" ht="14.25">
      <c r="K179" s="345" t="str">
        <f>IF(P178="OUI","Évalués  à :","")</f>
        <v>Évalués  à :</v>
      </c>
      <c r="L179" s="345"/>
      <c r="M179" s="345"/>
      <c r="N179" s="345"/>
      <c r="O179" s="345"/>
      <c r="P179" s="416">
        <v>520000</v>
      </c>
      <c r="Q179" s="416"/>
      <c r="R179" s="416"/>
      <c r="S179" s="416"/>
      <c r="U179" s="145"/>
    </row>
    <row r="180" spans="2:21" ht="14.25">
      <c r="U180" s="145"/>
    </row>
    <row r="181" spans="2:21" ht="14.25">
      <c r="B181" s="341" t="s">
        <v>301</v>
      </c>
      <c r="C181" s="341"/>
      <c r="D181" s="341"/>
      <c r="E181" s="341"/>
      <c r="F181" s="341"/>
      <c r="G181" s="341"/>
      <c r="H181" s="407"/>
      <c r="I181" s="142" t="s">
        <v>273</v>
      </c>
      <c r="K181" s="345" t="str">
        <f>IF(I181="OUI","Avez-vous une idée du montant ?","")</f>
        <v/>
      </c>
      <c r="L181" s="345"/>
      <c r="M181" s="345"/>
      <c r="N181" s="345"/>
      <c r="O181" s="345"/>
      <c r="P181" s="61" t="s">
        <v>273</v>
      </c>
      <c r="U181" s="145"/>
    </row>
    <row r="182" spans="2:21" ht="14.25">
      <c r="K182" s="345" t="str">
        <f>IF(P181="OUI","Évalués  à :","")</f>
        <v/>
      </c>
      <c r="L182" s="345"/>
      <c r="M182" s="345"/>
      <c r="N182" s="345"/>
      <c r="O182" s="345"/>
      <c r="P182" s="416"/>
      <c r="Q182" s="416"/>
      <c r="R182" s="416"/>
      <c r="S182" s="416"/>
      <c r="U182" s="145"/>
    </row>
    <row r="183" spans="2:21" ht="14.25">
      <c r="U183" s="145"/>
    </row>
    <row r="184" spans="2:21" ht="14.25">
      <c r="B184" s="341" t="s">
        <v>302</v>
      </c>
      <c r="C184" s="341"/>
      <c r="D184" s="341"/>
      <c r="E184" s="341"/>
      <c r="F184" s="341"/>
      <c r="G184" s="341"/>
      <c r="H184" s="407"/>
      <c r="I184" s="142" t="s">
        <v>273</v>
      </c>
      <c r="K184" s="345" t="str">
        <f>IF(I184="OUI","Avez-vous une idée du montant ?","")</f>
        <v/>
      </c>
      <c r="L184" s="345"/>
      <c r="M184" s="345"/>
      <c r="N184" s="345"/>
      <c r="O184" s="345"/>
      <c r="P184" s="61"/>
      <c r="U184" s="145"/>
    </row>
    <row r="185" spans="2:21">
      <c r="K185" s="345" t="str">
        <f>IF(P184="OUI","Évalués  à :","")</f>
        <v/>
      </c>
      <c r="L185" s="345"/>
      <c r="M185" s="345"/>
      <c r="N185" s="345"/>
      <c r="O185" s="345"/>
      <c r="P185" s="416"/>
      <c r="Q185" s="416"/>
      <c r="R185" s="416"/>
      <c r="S185" s="416"/>
    </row>
    <row r="187" spans="2:21">
      <c r="B187" s="341" t="s">
        <v>303</v>
      </c>
      <c r="C187" s="341"/>
      <c r="D187" s="341"/>
      <c r="E187" s="341"/>
      <c r="F187" s="341"/>
      <c r="G187" s="341"/>
      <c r="H187" s="407"/>
      <c r="I187" s="142" t="s">
        <v>268</v>
      </c>
      <c r="K187" s="345" t="str">
        <f>IF(I187="OUI","Avez-vous une idée du montant ?","")</f>
        <v>Avez-vous une idée du montant ?</v>
      </c>
      <c r="L187" s="345"/>
      <c r="M187" s="345"/>
      <c r="N187" s="345"/>
      <c r="O187" s="345"/>
      <c r="P187" s="61" t="s">
        <v>268</v>
      </c>
    </row>
    <row r="188" spans="2:21">
      <c r="K188" s="345" t="str">
        <f>IF(P187="OUI","Évalués  à :","")</f>
        <v>Évalués  à :</v>
      </c>
      <c r="L188" s="345"/>
      <c r="M188" s="345"/>
      <c r="N188" s="345"/>
      <c r="O188" s="345"/>
      <c r="P188" s="416">
        <v>490000</v>
      </c>
      <c r="Q188" s="416"/>
      <c r="R188" s="416"/>
      <c r="S188" s="416"/>
    </row>
    <row r="190" spans="2:21">
      <c r="B190" s="341" t="s">
        <v>304</v>
      </c>
      <c r="C190" s="341"/>
      <c r="D190" s="341"/>
      <c r="E190" s="341"/>
      <c r="F190" s="341"/>
      <c r="G190" s="341"/>
      <c r="H190" s="407"/>
      <c r="I190" s="142" t="s">
        <v>268</v>
      </c>
      <c r="K190" s="345" t="str">
        <f>IF(I190="OUI","Avez-vous une idée du montant ?","")</f>
        <v>Avez-vous une idée du montant ?</v>
      </c>
      <c r="L190" s="345"/>
      <c r="M190" s="345"/>
      <c r="N190" s="345"/>
      <c r="O190" s="345"/>
      <c r="P190" s="61" t="s">
        <v>268</v>
      </c>
    </row>
    <row r="191" spans="2:21">
      <c r="K191" s="345" t="str">
        <f>IF(P190="OUI","Évalués  à :","")</f>
        <v>Évalués  à :</v>
      </c>
      <c r="L191" s="345"/>
      <c r="M191" s="345"/>
      <c r="N191" s="345"/>
      <c r="O191" s="345"/>
      <c r="P191" s="416">
        <v>600000</v>
      </c>
      <c r="Q191" s="416"/>
      <c r="R191" s="416"/>
      <c r="S191" s="416"/>
    </row>
    <row r="193" spans="2:19">
      <c r="B193" s="341" t="s">
        <v>305</v>
      </c>
      <c r="C193" s="341"/>
      <c r="D193" s="341"/>
      <c r="E193" s="341"/>
      <c r="F193" s="341"/>
      <c r="G193" s="341"/>
      <c r="H193" s="407"/>
      <c r="I193" s="142" t="s">
        <v>273</v>
      </c>
      <c r="K193" s="345" t="str">
        <f>IF(I193="OUI","Avez-vous une idée du montant ?","")</f>
        <v/>
      </c>
      <c r="L193" s="345"/>
      <c r="M193" s="345"/>
      <c r="N193" s="345"/>
      <c r="O193" s="345"/>
      <c r="P193" s="61" t="s">
        <v>273</v>
      </c>
    </row>
    <row r="194" spans="2:19">
      <c r="K194" s="345" t="str">
        <f>IF(P193="OUI","Évalués  à :","")</f>
        <v/>
      </c>
      <c r="L194" s="345"/>
      <c r="M194" s="345"/>
      <c r="N194" s="345"/>
      <c r="O194" s="345"/>
      <c r="P194" s="416"/>
      <c r="Q194" s="416"/>
      <c r="R194" s="416"/>
      <c r="S194" s="416"/>
    </row>
    <row r="196" spans="2:19">
      <c r="B196" s="341" t="s">
        <v>306</v>
      </c>
      <c r="C196" s="341"/>
      <c r="D196" s="341"/>
      <c r="E196" s="341"/>
      <c r="F196" s="341"/>
      <c r="G196" s="341"/>
      <c r="H196" s="407"/>
      <c r="I196" s="142" t="s">
        <v>268</v>
      </c>
      <c r="K196" s="345" t="str">
        <f>IF(I196="OUI","Avez-vous une idée du montant ?","")</f>
        <v>Avez-vous une idée du montant ?</v>
      </c>
      <c r="L196" s="345"/>
      <c r="M196" s="345"/>
      <c r="N196" s="345"/>
      <c r="O196" s="345"/>
      <c r="P196" s="61" t="s">
        <v>268</v>
      </c>
    </row>
    <row r="197" spans="2:19">
      <c r="K197" s="345" t="str">
        <f>IF(P196="OUI","Évalués  à :","")</f>
        <v>Évalués  à :</v>
      </c>
      <c r="L197" s="345"/>
      <c r="M197" s="345"/>
      <c r="N197" s="345"/>
      <c r="O197" s="345"/>
      <c r="P197" s="416">
        <v>6000000</v>
      </c>
      <c r="Q197" s="416"/>
      <c r="R197" s="416"/>
      <c r="S197" s="416"/>
    </row>
    <row r="199" spans="2:19">
      <c r="B199" s="341" t="s">
        <v>307</v>
      </c>
      <c r="C199" s="341"/>
      <c r="D199" s="341"/>
      <c r="E199" s="341"/>
      <c r="F199" s="341"/>
      <c r="G199" s="341"/>
      <c r="H199" s="407"/>
      <c r="I199" s="142" t="s">
        <v>273</v>
      </c>
      <c r="K199" s="345" t="str">
        <f>IF(I199="OUI","Avez-vous une idée du montant ?","")</f>
        <v/>
      </c>
      <c r="L199" s="345"/>
      <c r="M199" s="345"/>
      <c r="N199" s="345"/>
      <c r="O199" s="345"/>
      <c r="P199" s="61"/>
    </row>
    <row r="200" spans="2:19">
      <c r="K200" s="345" t="str">
        <f>IF(P199="OUI","Évalués  à :","")</f>
        <v/>
      </c>
      <c r="L200" s="345"/>
      <c r="M200" s="345"/>
      <c r="N200" s="345"/>
      <c r="O200" s="345"/>
      <c r="P200" s="416"/>
      <c r="Q200" s="416"/>
      <c r="R200" s="416"/>
      <c r="S200" s="416"/>
    </row>
    <row r="202" spans="2:19">
      <c r="B202" s="341" t="s">
        <v>308</v>
      </c>
      <c r="C202" s="341"/>
      <c r="D202" s="341"/>
      <c r="E202" s="341"/>
      <c r="F202" s="341"/>
      <c r="G202" s="341"/>
      <c r="H202" s="407"/>
      <c r="I202" s="142" t="s">
        <v>273</v>
      </c>
      <c r="K202" s="345" t="str">
        <f>IF(I202="OUI","Avez-vous une idée du montant ?","")</f>
        <v/>
      </c>
      <c r="L202" s="345"/>
      <c r="M202" s="345"/>
      <c r="N202" s="345"/>
      <c r="O202" s="345"/>
      <c r="P202" s="61"/>
    </row>
    <row r="203" spans="2:19">
      <c r="K203" s="345" t="str">
        <f>IF(P202="OUI","Évalués  à :","")</f>
        <v/>
      </c>
      <c r="L203" s="345"/>
      <c r="M203" s="345"/>
      <c r="N203" s="345"/>
      <c r="O203" s="345"/>
      <c r="P203" s="416"/>
      <c r="Q203" s="416"/>
      <c r="R203" s="416"/>
      <c r="S203" s="416"/>
    </row>
    <row r="205" spans="2:19">
      <c r="B205" s="341" t="s">
        <v>309</v>
      </c>
      <c r="C205" s="341"/>
      <c r="D205" s="341"/>
      <c r="E205" s="341"/>
      <c r="F205" s="341"/>
      <c r="G205" s="341"/>
      <c r="H205" s="407"/>
      <c r="I205" s="142" t="s">
        <v>268</v>
      </c>
      <c r="K205" s="345" t="str">
        <f>IF(I205="OUI","Avez-vous une idée du montant ?","")</f>
        <v>Avez-vous une idée du montant ?</v>
      </c>
      <c r="L205" s="345"/>
      <c r="M205" s="345"/>
      <c r="N205" s="345"/>
      <c r="O205" s="345"/>
      <c r="P205" s="61" t="s">
        <v>268</v>
      </c>
    </row>
    <row r="206" spans="2:19">
      <c r="K206" s="345" t="str">
        <f>IF(P205="OUI","Évalués  à :","")</f>
        <v>Évalués  à :</v>
      </c>
      <c r="L206" s="345"/>
      <c r="M206" s="345"/>
      <c r="N206" s="345"/>
      <c r="O206" s="345"/>
      <c r="P206" s="416">
        <v>200000</v>
      </c>
      <c r="Q206" s="416"/>
      <c r="R206" s="416"/>
      <c r="S206" s="416"/>
    </row>
    <row r="208" spans="2:19">
      <c r="B208" s="341" t="s">
        <v>310</v>
      </c>
      <c r="C208" s="341"/>
      <c r="D208" s="341"/>
      <c r="E208" s="341"/>
      <c r="F208" s="341"/>
      <c r="G208" s="341"/>
      <c r="H208" s="407"/>
      <c r="I208" s="142" t="s">
        <v>268</v>
      </c>
      <c r="K208" s="345" t="str">
        <f>IF(I208="OUI","Avez-vous une idée du montant ?","")</f>
        <v>Avez-vous une idée du montant ?</v>
      </c>
      <c r="L208" s="345"/>
      <c r="M208" s="345"/>
      <c r="N208" s="345"/>
      <c r="O208" s="345"/>
      <c r="P208" s="61" t="s">
        <v>268</v>
      </c>
    </row>
    <row r="209" spans="2:21">
      <c r="K209" s="345" t="str">
        <f>IF(P208="OUI","Évalués  à :","")</f>
        <v>Évalués  à :</v>
      </c>
      <c r="L209" s="345"/>
      <c r="M209" s="345"/>
      <c r="N209" s="345"/>
      <c r="O209" s="345"/>
      <c r="P209" s="416">
        <v>720000</v>
      </c>
      <c r="Q209" s="416"/>
      <c r="R209" s="416"/>
      <c r="S209" s="416"/>
    </row>
    <row r="211" spans="2:21">
      <c r="B211" s="341" t="s">
        <v>311</v>
      </c>
      <c r="C211" s="341"/>
      <c r="D211" s="341"/>
      <c r="E211" s="341"/>
      <c r="F211" s="341"/>
      <c r="G211" s="341"/>
      <c r="H211" s="407"/>
      <c r="I211" s="142" t="s">
        <v>273</v>
      </c>
      <c r="K211" s="345" t="str">
        <f>IF(I211="OUI","Avez-vous une idée du montant ?","")</f>
        <v/>
      </c>
      <c r="L211" s="345"/>
      <c r="M211" s="345"/>
      <c r="N211" s="345"/>
      <c r="O211" s="345"/>
      <c r="P211" s="61"/>
    </row>
    <row r="212" spans="2:21">
      <c r="K212" s="345" t="str">
        <f>IF(P211="OUI","Évalués  à :","")</f>
        <v/>
      </c>
      <c r="L212" s="345"/>
      <c r="M212" s="345"/>
      <c r="N212" s="345"/>
      <c r="O212" s="345"/>
      <c r="P212" s="416"/>
      <c r="Q212" s="416"/>
      <c r="R212" s="416"/>
      <c r="S212" s="416"/>
    </row>
    <row r="214" spans="2:21" ht="14.25">
      <c r="B214" s="341" t="s">
        <v>312</v>
      </c>
      <c r="C214" s="341"/>
      <c r="D214" s="341"/>
      <c r="E214" s="341"/>
      <c r="F214" s="341"/>
      <c r="G214" s="341"/>
      <c r="H214" s="407"/>
      <c r="I214" s="142" t="s">
        <v>273</v>
      </c>
      <c r="K214" s="345" t="str">
        <f>IF(I214="OUI","Avez-vous une idée du montant ?","")</f>
        <v/>
      </c>
      <c r="L214" s="345"/>
      <c r="M214" s="345"/>
      <c r="N214" s="345"/>
      <c r="O214" s="345"/>
      <c r="P214" s="61"/>
      <c r="U214" s="145"/>
    </row>
    <row r="215" spans="2:21" ht="14.25">
      <c r="K215" s="345" t="str">
        <f>IF(P214="OUI","Évalués  à :","")</f>
        <v/>
      </c>
      <c r="L215" s="345"/>
      <c r="M215" s="345"/>
      <c r="N215" s="345"/>
      <c r="O215" s="345"/>
      <c r="P215" s="416"/>
      <c r="Q215" s="416"/>
      <c r="R215" s="416"/>
      <c r="S215" s="416"/>
      <c r="U215" s="145"/>
    </row>
    <row r="216" spans="2:21" ht="14.25">
      <c r="U216" s="145"/>
    </row>
    <row r="217" spans="2:21" ht="14.25">
      <c r="B217" s="341" t="s">
        <v>313</v>
      </c>
      <c r="C217" s="341"/>
      <c r="D217" s="341"/>
      <c r="E217" s="341"/>
      <c r="F217" s="341"/>
      <c r="G217" s="341"/>
      <c r="H217" s="407"/>
      <c r="I217" s="142" t="s">
        <v>268</v>
      </c>
      <c r="K217" s="345" t="str">
        <f>IF(I217="OUI","Avez-vous une idée du montant ?","")</f>
        <v>Avez-vous une idée du montant ?</v>
      </c>
      <c r="L217" s="345"/>
      <c r="M217" s="345"/>
      <c r="N217" s="345"/>
      <c r="O217" s="345"/>
      <c r="P217" s="61" t="s">
        <v>268</v>
      </c>
      <c r="U217" s="145"/>
    </row>
    <row r="218" spans="2:21" ht="14.25">
      <c r="K218" s="345" t="str">
        <f>IF(P217="OUI","Évalués  à :","")</f>
        <v>Évalués  à :</v>
      </c>
      <c r="L218" s="345"/>
      <c r="M218" s="345"/>
      <c r="N218" s="345"/>
      <c r="O218" s="345"/>
      <c r="P218" s="416">
        <v>1800000</v>
      </c>
      <c r="Q218" s="416"/>
      <c r="R218" s="416"/>
      <c r="S218" s="416"/>
      <c r="U218" s="145"/>
    </row>
    <row r="219" spans="2:21" ht="14.25">
      <c r="U219" s="145"/>
    </row>
    <row r="220" spans="2:21" ht="14.25">
      <c r="B220" s="341" t="s">
        <v>314</v>
      </c>
      <c r="C220" s="341"/>
      <c r="D220" s="341"/>
      <c r="E220" s="341"/>
      <c r="F220" s="341"/>
      <c r="G220" s="341"/>
      <c r="H220" s="407"/>
      <c r="I220" s="142" t="s">
        <v>268</v>
      </c>
      <c r="K220" s="345" t="str">
        <f>IF(I220="OUI","Avez-vous une idée du montant ?","")</f>
        <v>Avez-vous une idée du montant ?</v>
      </c>
      <c r="L220" s="345"/>
      <c r="M220" s="345"/>
      <c r="N220" s="345"/>
      <c r="O220" s="345"/>
      <c r="P220" s="61" t="s">
        <v>268</v>
      </c>
      <c r="U220" s="145"/>
    </row>
    <row r="221" spans="2:21" ht="14.25">
      <c r="K221" s="345" t="str">
        <f>IF(P220="OUI","Évalués  à :","")</f>
        <v>Évalués  à :</v>
      </c>
      <c r="L221" s="345"/>
      <c r="M221" s="345"/>
      <c r="N221" s="345"/>
      <c r="O221" s="345"/>
      <c r="P221" s="416">
        <v>85000</v>
      </c>
      <c r="Q221" s="416"/>
      <c r="R221" s="416"/>
      <c r="S221" s="416"/>
      <c r="U221" s="145"/>
    </row>
    <row r="222" spans="2:21" ht="14.25">
      <c r="U222" s="145"/>
    </row>
    <row r="223" spans="2:21" ht="14.25">
      <c r="B223" s="341" t="s">
        <v>315</v>
      </c>
      <c r="C223" s="341"/>
      <c r="D223" s="341"/>
      <c r="E223" s="341"/>
      <c r="F223" s="341"/>
      <c r="G223" s="341"/>
      <c r="H223" s="407"/>
      <c r="I223" s="142" t="s">
        <v>273</v>
      </c>
      <c r="K223" s="345" t="str">
        <f>IF(I223="OUI","Avez-vous une idée du montant ?","")</f>
        <v/>
      </c>
      <c r="L223" s="345"/>
      <c r="M223" s="345"/>
      <c r="N223" s="345"/>
      <c r="O223" s="345"/>
      <c r="P223" s="61"/>
      <c r="U223" s="145"/>
    </row>
    <row r="224" spans="2:21" ht="14.25">
      <c r="K224" s="345" t="str">
        <f>IF(P223="OUI","Évalués  à :","")</f>
        <v/>
      </c>
      <c r="L224" s="345"/>
      <c r="M224" s="345"/>
      <c r="N224" s="345"/>
      <c r="O224" s="345"/>
      <c r="P224" s="416"/>
      <c r="Q224" s="416"/>
      <c r="R224" s="416"/>
      <c r="S224" s="416"/>
      <c r="U224" s="145"/>
    </row>
    <row r="225" spans="1:21">
      <c r="U225" s="147"/>
    </row>
    <row r="226" spans="1:21" ht="14.25">
      <c r="B226" s="341" t="s">
        <v>316</v>
      </c>
      <c r="C226" s="341"/>
      <c r="D226" s="341"/>
      <c r="E226" s="341"/>
      <c r="F226" s="341"/>
      <c r="G226" s="341"/>
      <c r="H226" s="407"/>
      <c r="I226" s="142" t="s">
        <v>273</v>
      </c>
      <c r="K226" s="345" t="str">
        <f>IF(I226="OUI","Avez-vous une idée du montant ?","")</f>
        <v/>
      </c>
      <c r="L226" s="345"/>
      <c r="M226" s="345"/>
      <c r="N226" s="345"/>
      <c r="O226" s="345"/>
      <c r="P226" s="61"/>
      <c r="U226" s="145"/>
    </row>
    <row r="227" spans="1:21" ht="14.25">
      <c r="K227" s="345" t="str">
        <f>IF(P226="OUI","Évalués  à :","")</f>
        <v/>
      </c>
      <c r="L227" s="345"/>
      <c r="M227" s="345"/>
      <c r="N227" s="345"/>
      <c r="O227" s="345"/>
      <c r="P227" s="416"/>
      <c r="Q227" s="416"/>
      <c r="R227" s="416"/>
      <c r="S227" s="416"/>
      <c r="U227" s="145"/>
    </row>
    <row r="229" spans="1:21">
      <c r="B229" s="341" t="s">
        <v>317</v>
      </c>
      <c r="C229" s="341"/>
      <c r="D229" s="341"/>
      <c r="E229" s="341"/>
      <c r="F229" s="341"/>
      <c r="G229" s="341"/>
      <c r="H229" s="407"/>
      <c r="I229" s="142" t="s">
        <v>273</v>
      </c>
      <c r="K229" s="345" t="str">
        <f>IF(I229="OUI","Avez-vous une idée du montant ?","")</f>
        <v/>
      </c>
      <c r="L229" s="345"/>
      <c r="M229" s="345"/>
      <c r="N229" s="345"/>
      <c r="O229" s="345"/>
      <c r="P229" s="61"/>
    </row>
    <row r="230" spans="1:21">
      <c r="K230" s="345" t="str">
        <f>IF(P229="OUI","Évalués  à :","")</f>
        <v/>
      </c>
      <c r="L230" s="345"/>
      <c r="M230" s="345"/>
      <c r="N230" s="345"/>
      <c r="O230" s="345"/>
      <c r="P230" s="416"/>
      <c r="Q230" s="416"/>
      <c r="R230" s="416"/>
      <c r="S230" s="416"/>
    </row>
    <row r="232" spans="1:21">
      <c r="B232" s="341" t="s">
        <v>318</v>
      </c>
      <c r="C232" s="341"/>
      <c r="D232" s="341"/>
      <c r="E232" s="341"/>
      <c r="F232" s="341"/>
      <c r="G232" s="341"/>
      <c r="H232" s="407"/>
      <c r="I232" s="142" t="s">
        <v>273</v>
      </c>
      <c r="K232" s="345" t="str">
        <f>IF(I232="OUI","Avez-vous une idée du montant ?","")</f>
        <v/>
      </c>
      <c r="L232" s="345"/>
      <c r="M232" s="345"/>
      <c r="N232" s="345"/>
      <c r="O232" s="345"/>
      <c r="P232" s="61" t="s">
        <v>273</v>
      </c>
    </row>
    <row r="233" spans="1:21">
      <c r="K233" s="345" t="str">
        <f>IF(P232="OUI","Évalués  à :","")</f>
        <v/>
      </c>
      <c r="L233" s="345"/>
      <c r="M233" s="345"/>
      <c r="N233" s="345"/>
      <c r="O233" s="345"/>
      <c r="P233" s="416"/>
      <c r="Q233" s="416"/>
      <c r="R233" s="416"/>
      <c r="S233" s="416"/>
    </row>
    <row r="234" spans="1:21">
      <c r="K234" s="107"/>
      <c r="L234" s="107"/>
      <c r="M234" s="107"/>
      <c r="N234" s="107"/>
      <c r="O234" s="107"/>
      <c r="P234" s="107"/>
      <c r="Q234" s="107"/>
      <c r="R234" s="107"/>
      <c r="S234" s="107"/>
    </row>
    <row r="235" spans="1:21">
      <c r="K235" s="107"/>
      <c r="L235" s="107"/>
      <c r="M235" s="107"/>
      <c r="N235" s="107"/>
      <c r="O235" s="107"/>
      <c r="P235" s="107"/>
      <c r="Q235" s="107"/>
      <c r="R235" s="107"/>
      <c r="S235" s="107"/>
    </row>
    <row r="236" spans="1:21" s="3" customFormat="1">
      <c r="A236" s="110" t="s">
        <v>319</v>
      </c>
      <c r="B236" s="352" t="s">
        <v>320</v>
      </c>
      <c r="C236" s="352"/>
      <c r="D236" s="352"/>
      <c r="E236" s="352"/>
      <c r="F236" s="352"/>
      <c r="G236" s="352"/>
      <c r="H236" s="352"/>
      <c r="I236" s="352"/>
      <c r="J236" s="352"/>
      <c r="K236" s="352"/>
      <c r="L236" s="352"/>
      <c r="M236" s="352"/>
      <c r="N236" s="352"/>
      <c r="O236" s="111"/>
      <c r="P236" s="111"/>
      <c r="Q236" s="111"/>
      <c r="R236" s="111"/>
      <c r="S236" s="111"/>
      <c r="T236" s="111"/>
      <c r="U236" s="137"/>
    </row>
    <row r="238" spans="1:21">
      <c r="B238" s="341" t="s">
        <v>321</v>
      </c>
      <c r="C238" s="341"/>
      <c r="D238" s="341"/>
      <c r="E238" s="341"/>
      <c r="F238" s="341"/>
      <c r="G238" s="341"/>
      <c r="H238" s="341"/>
      <c r="I238" s="407"/>
      <c r="J238" s="142" t="s">
        <v>273</v>
      </c>
      <c r="L238" s="345" t="str">
        <f>IF(J238="OUI","Quel montant par mois ?","")</f>
        <v/>
      </c>
      <c r="M238" s="345"/>
      <c r="N238" s="345"/>
      <c r="O238" s="345"/>
      <c r="P238" s="416"/>
      <c r="Q238" s="416"/>
      <c r="R238" s="416"/>
      <c r="S238" s="416"/>
    </row>
    <row r="240" spans="1:21" ht="4.1500000000000004" customHeight="1">
      <c r="B240" s="424" t="str">
        <f>IF(J238="NON","Évaluation des dépenses familiales mensuelles","")</f>
        <v>Évaluation des dépenses familiales mensuelles</v>
      </c>
      <c r="C240" s="424"/>
      <c r="D240" s="424"/>
      <c r="E240" s="424"/>
      <c r="F240" s="424"/>
      <c r="G240" s="424"/>
      <c r="H240" s="424"/>
      <c r="I240" s="424"/>
      <c r="J240" s="424"/>
      <c r="K240" s="424"/>
      <c r="L240" s="424"/>
      <c r="M240" s="424"/>
      <c r="N240" s="424"/>
      <c r="O240" s="424"/>
      <c r="P240" s="424"/>
      <c r="Q240" s="424"/>
      <c r="R240" s="424"/>
      <c r="S240" s="424"/>
    </row>
    <row r="241" spans="2:19">
      <c r="B241" s="424"/>
      <c r="C241" s="424"/>
      <c r="D241" s="424"/>
      <c r="E241" s="424"/>
      <c r="F241" s="424"/>
      <c r="G241" s="424"/>
      <c r="H241" s="424"/>
      <c r="I241" s="424"/>
      <c r="J241" s="424"/>
      <c r="K241" s="424"/>
      <c r="L241" s="424"/>
      <c r="M241" s="424"/>
      <c r="N241" s="424"/>
      <c r="O241" s="424"/>
      <c r="P241" s="424"/>
      <c r="Q241" s="424"/>
      <c r="R241" s="424"/>
      <c r="S241" s="424"/>
    </row>
    <row r="242" spans="2:19" ht="4.9000000000000004" customHeight="1">
      <c r="B242" s="424"/>
      <c r="C242" s="424"/>
      <c r="D242" s="424"/>
      <c r="E242" s="424"/>
      <c r="F242" s="424"/>
      <c r="G242" s="424"/>
      <c r="H242" s="424"/>
      <c r="I242" s="424"/>
      <c r="J242" s="424"/>
      <c r="K242" s="424"/>
      <c r="L242" s="424"/>
      <c r="M242" s="424"/>
      <c r="N242" s="424"/>
      <c r="O242" s="424"/>
      <c r="P242" s="424"/>
      <c r="Q242" s="424"/>
      <c r="R242" s="424"/>
      <c r="S242" s="424"/>
    </row>
    <row r="243" spans="2:19">
      <c r="B243" s="112"/>
      <c r="C243" s="112"/>
      <c r="D243" s="112"/>
      <c r="E243" s="112"/>
      <c r="F243" s="112"/>
      <c r="G243" s="112"/>
      <c r="H243" s="112"/>
      <c r="I243" s="112"/>
      <c r="J243" s="112"/>
      <c r="K243" s="112"/>
      <c r="L243" s="112"/>
      <c r="M243" s="112"/>
      <c r="N243" s="112"/>
      <c r="O243" s="112"/>
      <c r="P243" s="112"/>
      <c r="Q243" s="112"/>
      <c r="R243" s="112"/>
      <c r="S243" s="112"/>
    </row>
    <row r="244" spans="2:19">
      <c r="B244" s="360" t="str">
        <f>IF(J238="NON","a) Frais d'alimentation","")</f>
        <v>a) Frais d'alimentation</v>
      </c>
      <c r="C244" s="360"/>
      <c r="D244" s="360"/>
      <c r="E244" s="360"/>
      <c r="F244" s="360"/>
      <c r="G244" s="360"/>
      <c r="H244" s="360"/>
      <c r="I244" s="146" t="s">
        <v>273</v>
      </c>
      <c r="J244" s="112"/>
      <c r="K244" s="417" t="str">
        <f>IF(I244="OUI","Avez-vous une idée du montant ?","")</f>
        <v/>
      </c>
      <c r="L244" s="417"/>
      <c r="M244" s="417"/>
      <c r="N244" s="417"/>
      <c r="O244" s="417"/>
      <c r="P244" s="146" t="s">
        <v>273</v>
      </c>
      <c r="Q244" s="112"/>
      <c r="R244" s="112"/>
      <c r="S244" s="112"/>
    </row>
    <row r="245" spans="2:19">
      <c r="B245" s="112"/>
      <c r="C245" s="112"/>
      <c r="D245" s="112"/>
      <c r="E245" s="112"/>
      <c r="F245" s="112"/>
      <c r="G245" s="112"/>
      <c r="H245" s="112"/>
      <c r="I245" s="112"/>
      <c r="J245" s="112"/>
      <c r="K245" s="417" t="str">
        <f>IF(P244="OUI","Évalués  à :","")</f>
        <v/>
      </c>
      <c r="L245" s="417"/>
      <c r="M245" s="417"/>
      <c r="N245" s="417"/>
      <c r="O245" s="417"/>
      <c r="P245" s="418"/>
      <c r="Q245" s="418"/>
      <c r="R245" s="418"/>
      <c r="S245" s="418"/>
    </row>
    <row r="246" spans="2:19">
      <c r="B246" s="112"/>
      <c r="C246" s="112"/>
      <c r="D246" s="112"/>
      <c r="E246" s="112"/>
      <c r="F246" s="112"/>
      <c r="G246" s="112"/>
      <c r="H246" s="112"/>
      <c r="I246" s="112"/>
      <c r="J246" s="112"/>
      <c r="K246" s="112"/>
      <c r="L246" s="112"/>
      <c r="M246" s="112"/>
      <c r="N246" s="112"/>
      <c r="O246" s="112"/>
      <c r="P246" s="112"/>
      <c r="Q246" s="112"/>
      <c r="R246" s="112"/>
      <c r="S246" s="112"/>
    </row>
    <row r="247" spans="2:19">
      <c r="B247" s="360" t="str">
        <f>IF(J238="NON","b) Redevance - Loyer résidence personnelle","")</f>
        <v>b) Redevance - Loyer résidence personnelle</v>
      </c>
      <c r="C247" s="360"/>
      <c r="D247" s="360"/>
      <c r="E247" s="360"/>
      <c r="F247" s="360"/>
      <c r="G247" s="360"/>
      <c r="H247" s="360"/>
      <c r="I247" s="146" t="s">
        <v>273</v>
      </c>
      <c r="J247" s="112"/>
      <c r="K247" s="417" t="str">
        <f>IF(I247="OUI","Avez-vous une idée du montant ?","")</f>
        <v/>
      </c>
      <c r="L247" s="417"/>
      <c r="M247" s="417"/>
      <c r="N247" s="417"/>
      <c r="O247" s="417"/>
      <c r="P247" s="146"/>
      <c r="Q247" s="112"/>
      <c r="R247" s="112"/>
      <c r="S247" s="112"/>
    </row>
    <row r="248" spans="2:19">
      <c r="B248" s="112"/>
      <c r="C248" s="112"/>
      <c r="D248" s="112"/>
      <c r="E248" s="112"/>
      <c r="F248" s="112"/>
      <c r="G248" s="112"/>
      <c r="H248" s="112"/>
      <c r="I248" s="112"/>
      <c r="J248" s="112"/>
      <c r="K248" s="417" t="str">
        <f>IF(P247="OUI","Évalués  à :","")</f>
        <v/>
      </c>
      <c r="L248" s="417"/>
      <c r="M248" s="417"/>
      <c r="N248" s="417"/>
      <c r="O248" s="417"/>
      <c r="P248" s="418"/>
      <c r="Q248" s="418"/>
      <c r="R248" s="418"/>
      <c r="S248" s="418"/>
    </row>
    <row r="249" spans="2:19">
      <c r="B249" s="112"/>
      <c r="C249" s="112"/>
      <c r="D249" s="112"/>
      <c r="E249" s="112"/>
      <c r="F249" s="112"/>
      <c r="G249" s="112"/>
      <c r="H249" s="112"/>
      <c r="I249" s="112"/>
      <c r="J249" s="112"/>
      <c r="K249" s="112"/>
      <c r="L249" s="112"/>
      <c r="M249" s="112"/>
      <c r="N249" s="112"/>
      <c r="O249" s="112"/>
      <c r="P249" s="112"/>
      <c r="Q249" s="112"/>
      <c r="R249" s="112"/>
      <c r="S249" s="112"/>
    </row>
    <row r="250" spans="2:19">
      <c r="B250" s="360" t="str">
        <f>IF(J238="NON","c) Frais de transport privé","")</f>
        <v>c) Frais de transport privé</v>
      </c>
      <c r="C250" s="360"/>
      <c r="D250" s="360"/>
      <c r="E250" s="360"/>
      <c r="F250" s="360"/>
      <c r="G250" s="360"/>
      <c r="H250" s="360"/>
      <c r="I250" s="146" t="s">
        <v>273</v>
      </c>
      <c r="J250" s="112"/>
      <c r="K250" s="417" t="str">
        <f>IF(I250="OUI","Avez-vous une idée du montant ?","")</f>
        <v/>
      </c>
      <c r="L250" s="417"/>
      <c r="M250" s="417"/>
      <c r="N250" s="417"/>
      <c r="O250" s="417"/>
      <c r="P250" s="146"/>
      <c r="Q250" s="112"/>
      <c r="R250" s="112"/>
      <c r="S250" s="112"/>
    </row>
    <row r="251" spans="2:19">
      <c r="B251" s="112"/>
      <c r="C251" s="112"/>
      <c r="D251" s="112"/>
      <c r="E251" s="112"/>
      <c r="F251" s="112"/>
      <c r="G251" s="112"/>
      <c r="H251" s="112"/>
      <c r="I251" s="112"/>
      <c r="J251" s="112"/>
      <c r="K251" s="417" t="str">
        <f>IF(P250="OUI","Évalués  à :","")</f>
        <v/>
      </c>
      <c r="L251" s="417"/>
      <c r="M251" s="417"/>
      <c r="N251" s="417"/>
      <c r="O251" s="417"/>
      <c r="P251" s="418"/>
      <c r="Q251" s="418"/>
      <c r="R251" s="418"/>
      <c r="S251" s="418"/>
    </row>
    <row r="252" spans="2:19">
      <c r="B252" s="112"/>
      <c r="C252" s="112"/>
      <c r="D252" s="112"/>
      <c r="E252" s="112"/>
      <c r="F252" s="112"/>
      <c r="G252" s="112"/>
      <c r="H252" s="112"/>
      <c r="I252" s="112"/>
      <c r="J252" s="112"/>
      <c r="K252" s="112"/>
      <c r="L252" s="112"/>
      <c r="M252" s="112"/>
      <c r="N252" s="112"/>
      <c r="O252" s="112"/>
      <c r="P252" s="112"/>
      <c r="Q252" s="112"/>
      <c r="R252" s="112"/>
      <c r="S252" s="112"/>
    </row>
    <row r="253" spans="2:19">
      <c r="B253" s="360" t="str">
        <f>IF(J238="NON","d) Electricité - eau - communication","")</f>
        <v>d) Electricité - eau - communication</v>
      </c>
      <c r="C253" s="360"/>
      <c r="D253" s="360"/>
      <c r="E253" s="360"/>
      <c r="F253" s="360"/>
      <c r="G253" s="360"/>
      <c r="H253" s="360"/>
      <c r="I253" s="146" t="s">
        <v>273</v>
      </c>
      <c r="J253" s="112"/>
      <c r="K253" s="417" t="str">
        <f>IF(I253="OUI","Avez-vous une idée du montant ?","")</f>
        <v/>
      </c>
      <c r="L253" s="417"/>
      <c r="M253" s="417"/>
      <c r="N253" s="417"/>
      <c r="O253" s="417"/>
      <c r="P253" s="146" t="s">
        <v>273</v>
      </c>
      <c r="Q253" s="112"/>
      <c r="R253" s="112"/>
      <c r="S253" s="112"/>
    </row>
    <row r="254" spans="2:19">
      <c r="B254" s="112"/>
      <c r="C254" s="112"/>
      <c r="D254" s="112"/>
      <c r="E254" s="112"/>
      <c r="F254" s="112"/>
      <c r="G254" s="112"/>
      <c r="H254" s="112"/>
      <c r="I254" s="112"/>
      <c r="J254" s="112"/>
      <c r="K254" s="417" t="str">
        <f>IF(P253="OUI","Évalués  à :","")</f>
        <v/>
      </c>
      <c r="L254" s="417"/>
      <c r="M254" s="417"/>
      <c r="N254" s="417"/>
      <c r="O254" s="417"/>
      <c r="P254" s="418"/>
      <c r="Q254" s="418"/>
      <c r="R254" s="418"/>
      <c r="S254" s="418"/>
    </row>
    <row r="255" spans="2:19">
      <c r="B255" s="112"/>
      <c r="C255" s="112"/>
      <c r="D255" s="112"/>
      <c r="E255" s="112"/>
      <c r="F255" s="112"/>
      <c r="G255" s="112"/>
      <c r="H255" s="112"/>
      <c r="I255" s="112"/>
      <c r="J255" s="112"/>
      <c r="K255" s="112"/>
      <c r="L255" s="112"/>
      <c r="M255" s="112"/>
      <c r="N255" s="112"/>
      <c r="O255" s="112"/>
      <c r="P255" s="112"/>
      <c r="Q255" s="112"/>
      <c r="R255" s="112"/>
      <c r="S255" s="112"/>
    </row>
    <row r="256" spans="2:19">
      <c r="B256" s="360" t="str">
        <f>IF(J238="NON","e) Frais d'habillement","")</f>
        <v>e) Frais d'habillement</v>
      </c>
      <c r="C256" s="360"/>
      <c r="D256" s="360"/>
      <c r="E256" s="360"/>
      <c r="F256" s="360"/>
      <c r="G256" s="360"/>
      <c r="H256" s="360"/>
      <c r="I256" s="146" t="s">
        <v>268</v>
      </c>
      <c r="J256" s="112"/>
      <c r="K256" s="417" t="str">
        <f>IF(I256="OUI","Avez-vous une idée du montant ?","")</f>
        <v>Avez-vous une idée du montant ?</v>
      </c>
      <c r="L256" s="417"/>
      <c r="M256" s="417"/>
      <c r="N256" s="417"/>
      <c r="O256" s="417"/>
      <c r="P256" s="146" t="s">
        <v>268</v>
      </c>
      <c r="Q256" s="112"/>
      <c r="R256" s="112"/>
      <c r="S256" s="112"/>
    </row>
    <row r="257" spans="2:19">
      <c r="B257" s="112"/>
      <c r="C257" s="112"/>
      <c r="D257" s="112"/>
      <c r="E257" s="112"/>
      <c r="F257" s="112"/>
      <c r="G257" s="112"/>
      <c r="H257" s="112"/>
      <c r="I257" s="112"/>
      <c r="J257" s="112"/>
      <c r="K257" s="417" t="str">
        <f>IF(P256="OUI","Évalués  à :","")</f>
        <v>Évalués  à :</v>
      </c>
      <c r="L257" s="417"/>
      <c r="M257" s="417"/>
      <c r="N257" s="417"/>
      <c r="O257" s="417"/>
      <c r="P257" s="418">
        <v>2500000</v>
      </c>
      <c r="Q257" s="418"/>
      <c r="R257" s="418"/>
      <c r="S257" s="418"/>
    </row>
    <row r="258" spans="2:19">
      <c r="B258" s="112"/>
      <c r="C258" s="112"/>
      <c r="D258" s="112"/>
      <c r="E258" s="112"/>
      <c r="F258" s="112"/>
      <c r="G258" s="112"/>
      <c r="H258" s="112"/>
      <c r="I258" s="112"/>
      <c r="J258" s="112"/>
      <c r="K258" s="112"/>
      <c r="L258" s="112"/>
      <c r="M258" s="112"/>
      <c r="N258" s="112"/>
      <c r="O258" s="112"/>
      <c r="P258" s="112"/>
      <c r="Q258" s="112"/>
      <c r="R258" s="112"/>
      <c r="S258" s="112"/>
    </row>
    <row r="259" spans="2:19">
      <c r="B259" s="360" t="str">
        <f>IF(J238="NON","f) Frais médicaux","")</f>
        <v>f) Frais médicaux</v>
      </c>
      <c r="C259" s="360"/>
      <c r="D259" s="360"/>
      <c r="E259" s="360"/>
      <c r="F259" s="360"/>
      <c r="G259" s="360"/>
      <c r="H259" s="360"/>
      <c r="I259" s="146" t="s">
        <v>268</v>
      </c>
      <c r="J259" s="112"/>
      <c r="K259" s="417" t="str">
        <f>IF(I259="OUI","Avez-vous une idée du montant ?","")</f>
        <v>Avez-vous une idée du montant ?</v>
      </c>
      <c r="L259" s="417"/>
      <c r="M259" s="417"/>
      <c r="N259" s="417"/>
      <c r="O259" s="417"/>
      <c r="P259" s="146" t="s">
        <v>268</v>
      </c>
      <c r="Q259" s="112"/>
      <c r="R259" s="112"/>
      <c r="S259" s="112"/>
    </row>
    <row r="260" spans="2:19">
      <c r="B260" s="112"/>
      <c r="C260" s="112"/>
      <c r="D260" s="112"/>
      <c r="E260" s="112"/>
      <c r="F260" s="112"/>
      <c r="G260" s="112"/>
      <c r="H260" s="112"/>
      <c r="I260" s="112"/>
      <c r="J260" s="112"/>
      <c r="K260" s="417" t="str">
        <f>IF(P259="OUI","Évalués  à :","")</f>
        <v>Évalués  à :</v>
      </c>
      <c r="L260" s="417"/>
      <c r="M260" s="417"/>
      <c r="N260" s="417"/>
      <c r="O260" s="417"/>
      <c r="P260" s="418">
        <v>2500000</v>
      </c>
      <c r="Q260" s="418"/>
      <c r="R260" s="418"/>
      <c r="S260" s="418"/>
    </row>
    <row r="261" spans="2:19">
      <c r="B261" s="112"/>
      <c r="C261" s="112"/>
      <c r="D261" s="112"/>
      <c r="E261" s="112"/>
      <c r="F261" s="112"/>
      <c r="G261" s="112"/>
      <c r="H261" s="112"/>
      <c r="I261" s="112"/>
      <c r="J261" s="112"/>
      <c r="K261" s="112"/>
      <c r="L261" s="112"/>
      <c r="M261" s="112"/>
      <c r="N261" s="112"/>
      <c r="O261" s="112"/>
      <c r="P261" s="112"/>
      <c r="Q261" s="112"/>
      <c r="R261" s="112"/>
      <c r="S261" s="112"/>
    </row>
    <row r="262" spans="2:19">
      <c r="B262" s="360" t="str">
        <f>IF(J238="NON","g) Échéance autre crédit","")</f>
        <v>g) Échéance autre crédit</v>
      </c>
      <c r="C262" s="360"/>
      <c r="D262" s="360"/>
      <c r="E262" s="360"/>
      <c r="F262" s="360"/>
      <c r="G262" s="360"/>
      <c r="H262" s="360"/>
      <c r="I262" s="146" t="s">
        <v>273</v>
      </c>
      <c r="J262" s="112"/>
      <c r="K262" s="417" t="str">
        <f>IF(I262="OUI","Avez-vous une idée du montant ?","")</f>
        <v/>
      </c>
      <c r="L262" s="417"/>
      <c r="M262" s="417"/>
      <c r="N262" s="417"/>
      <c r="O262" s="417"/>
      <c r="P262" s="146"/>
      <c r="Q262" s="112"/>
      <c r="R262" s="112"/>
      <c r="S262" s="112"/>
    </row>
    <row r="263" spans="2:19">
      <c r="B263" s="112"/>
      <c r="C263" s="112"/>
      <c r="D263" s="112"/>
      <c r="E263" s="112"/>
      <c r="F263" s="112"/>
      <c r="G263" s="112"/>
      <c r="H263" s="112"/>
      <c r="I263" s="112"/>
      <c r="J263" s="112"/>
      <c r="K263" s="417" t="str">
        <f>IF(P262="OUI","Évalués  à :","")</f>
        <v/>
      </c>
      <c r="L263" s="417"/>
      <c r="M263" s="417"/>
      <c r="N263" s="417"/>
      <c r="O263" s="417"/>
      <c r="P263" s="418"/>
      <c r="Q263" s="418"/>
      <c r="R263" s="418"/>
      <c r="S263" s="418"/>
    </row>
    <row r="264" spans="2:19">
      <c r="B264" s="112"/>
      <c r="C264" s="112"/>
      <c r="D264" s="112"/>
      <c r="E264" s="112"/>
      <c r="F264" s="112"/>
      <c r="G264" s="112"/>
      <c r="H264" s="112"/>
      <c r="I264" s="112"/>
      <c r="J264" s="112"/>
      <c r="K264" s="112"/>
      <c r="L264" s="112"/>
      <c r="M264" s="112"/>
      <c r="N264" s="112"/>
      <c r="O264" s="112"/>
      <c r="P264" s="112"/>
      <c r="Q264" s="112"/>
      <c r="R264" s="112"/>
      <c r="S264" s="112"/>
    </row>
    <row r="265" spans="2:19">
      <c r="B265" s="360" t="str">
        <f>IF(J238="NON","h) Frais de scolarité","")</f>
        <v>h) Frais de scolarité</v>
      </c>
      <c r="C265" s="360"/>
      <c r="D265" s="360"/>
      <c r="E265" s="360"/>
      <c r="F265" s="360"/>
      <c r="G265" s="360"/>
      <c r="H265" s="360"/>
      <c r="I265" s="146" t="s">
        <v>273</v>
      </c>
      <c r="J265" s="112"/>
      <c r="K265" s="417" t="str">
        <f>IF(I265="OUI","Avez-vous une idée du montant ?","")</f>
        <v/>
      </c>
      <c r="L265" s="417"/>
      <c r="M265" s="417"/>
      <c r="N265" s="417"/>
      <c r="O265" s="417"/>
      <c r="P265" s="146"/>
      <c r="Q265" s="112"/>
      <c r="R265" s="112"/>
      <c r="S265" s="112"/>
    </row>
    <row r="266" spans="2:19">
      <c r="B266" s="112"/>
      <c r="C266" s="112"/>
      <c r="D266" s="112"/>
      <c r="E266" s="112"/>
      <c r="F266" s="112"/>
      <c r="G266" s="112"/>
      <c r="H266" s="112"/>
      <c r="I266" s="112"/>
      <c r="J266" s="112"/>
      <c r="K266" s="417" t="str">
        <f>IF(P265="OUI","Évalués  à :","")</f>
        <v/>
      </c>
      <c r="L266" s="417"/>
      <c r="M266" s="417"/>
      <c r="N266" s="417"/>
      <c r="O266" s="417"/>
      <c r="P266" s="418"/>
      <c r="Q266" s="418"/>
      <c r="R266" s="418"/>
      <c r="S266" s="418"/>
    </row>
    <row r="267" spans="2:19">
      <c r="B267" s="112"/>
      <c r="C267" s="112"/>
      <c r="D267" s="112"/>
      <c r="E267" s="112"/>
      <c r="F267" s="112"/>
      <c r="G267" s="112"/>
      <c r="H267" s="112"/>
      <c r="I267" s="112"/>
      <c r="J267" s="112"/>
      <c r="K267" s="112"/>
      <c r="L267" s="112"/>
      <c r="M267" s="112"/>
      <c r="N267" s="112"/>
      <c r="O267" s="112"/>
      <c r="P267" s="112"/>
      <c r="Q267" s="112"/>
      <c r="R267" s="112"/>
      <c r="S267" s="112"/>
    </row>
    <row r="268" spans="2:19">
      <c r="B268" s="360" t="str">
        <f>IF(J238="NON","i) Travaux de constructions privées","")</f>
        <v>i) Travaux de constructions privées</v>
      </c>
      <c r="C268" s="360"/>
      <c r="D268" s="360"/>
      <c r="E268" s="360"/>
      <c r="F268" s="360"/>
      <c r="G268" s="360"/>
      <c r="H268" s="360"/>
      <c r="I268" s="146" t="s">
        <v>273</v>
      </c>
      <c r="J268" s="112"/>
      <c r="K268" s="417" t="str">
        <f>IF(I268="OUI","Avez-vous une idée du montant ?","")</f>
        <v/>
      </c>
      <c r="L268" s="417"/>
      <c r="M268" s="417"/>
      <c r="N268" s="417"/>
      <c r="O268" s="417"/>
      <c r="P268" s="146"/>
      <c r="Q268" s="112"/>
      <c r="R268" s="112"/>
      <c r="S268" s="112"/>
    </row>
    <row r="269" spans="2:19">
      <c r="B269" s="112"/>
      <c r="C269" s="112"/>
      <c r="D269" s="112"/>
      <c r="E269" s="112"/>
      <c r="F269" s="112"/>
      <c r="G269" s="112"/>
      <c r="H269" s="112"/>
      <c r="I269" s="112"/>
      <c r="J269" s="112"/>
      <c r="K269" s="417" t="str">
        <f>IF(P268="OUI","Évalués  à :","")</f>
        <v/>
      </c>
      <c r="L269" s="417"/>
      <c r="M269" s="417"/>
      <c r="N269" s="417"/>
      <c r="O269" s="417"/>
      <c r="P269" s="418"/>
      <c r="Q269" s="418"/>
      <c r="R269" s="418"/>
      <c r="S269" s="418"/>
    </row>
    <row r="270" spans="2:19">
      <c r="B270" s="112"/>
      <c r="C270" s="112"/>
      <c r="D270" s="112"/>
      <c r="E270" s="112"/>
      <c r="F270" s="112"/>
      <c r="G270" s="112"/>
      <c r="H270" s="112"/>
      <c r="I270" s="112"/>
      <c r="J270" s="112"/>
      <c r="K270" s="112"/>
      <c r="L270" s="112"/>
      <c r="M270" s="112"/>
      <c r="N270" s="112"/>
      <c r="O270" s="112"/>
      <c r="P270" s="112"/>
      <c r="Q270" s="112"/>
      <c r="R270" s="112"/>
      <c r="S270" s="112"/>
    </row>
    <row r="271" spans="2:19">
      <c r="B271" s="360" t="str">
        <f>IF(J238="NON","j) Autres charges personnelles","")</f>
        <v>j) Autres charges personnelles</v>
      </c>
      <c r="C271" s="360"/>
      <c r="D271" s="360"/>
      <c r="E271" s="360"/>
      <c r="F271" s="360"/>
      <c r="G271" s="360"/>
      <c r="H271" s="360"/>
      <c r="I271" s="146" t="s">
        <v>268</v>
      </c>
      <c r="J271" s="112"/>
      <c r="K271" s="417" t="str">
        <f>IF(I271="OUI","Avez-vous une idée du montant ?","")</f>
        <v>Avez-vous une idée du montant ?</v>
      </c>
      <c r="L271" s="417"/>
      <c r="M271" s="417"/>
      <c r="N271" s="417"/>
      <c r="O271" s="417"/>
      <c r="P271" s="146" t="s">
        <v>268</v>
      </c>
      <c r="Q271" s="112"/>
      <c r="R271" s="112"/>
      <c r="S271" s="112"/>
    </row>
    <row r="272" spans="2:19">
      <c r="B272" s="112"/>
      <c r="C272" s="112"/>
      <c r="D272" s="112"/>
      <c r="E272" s="112"/>
      <c r="F272" s="112"/>
      <c r="G272" s="112"/>
      <c r="H272" s="112"/>
      <c r="I272" s="112"/>
      <c r="J272" s="112"/>
      <c r="K272" s="417" t="str">
        <f>IF(P271="OUI","Évalués  à :","")</f>
        <v>Évalués  à :</v>
      </c>
      <c r="L272" s="417"/>
      <c r="M272" s="417"/>
      <c r="N272" s="417"/>
      <c r="O272" s="417"/>
      <c r="P272" s="418">
        <v>500000</v>
      </c>
      <c r="Q272" s="418"/>
      <c r="R272" s="418"/>
      <c r="S272" s="418"/>
    </row>
    <row r="273" spans="1:21">
      <c r="B273" s="112"/>
      <c r="C273" s="112"/>
      <c r="D273" s="112"/>
      <c r="E273" s="112"/>
      <c r="F273" s="112"/>
      <c r="G273" s="112"/>
      <c r="H273" s="112"/>
      <c r="I273" s="112"/>
      <c r="J273" s="112"/>
      <c r="K273" s="141"/>
      <c r="L273" s="141"/>
      <c r="M273" s="141"/>
      <c r="N273" s="141"/>
      <c r="O273" s="141"/>
      <c r="P273" s="141"/>
      <c r="Q273" s="141"/>
      <c r="R273" s="141"/>
      <c r="S273" s="141"/>
    </row>
    <row r="274" spans="1:21">
      <c r="B274" s="423" t="str">
        <f>IF(J238="NON","k) Toutes ces dépenses sont prélevées dans l'activité ?","")</f>
        <v>k) Toutes ces dépenses sont prélevées dans l'activité ?</v>
      </c>
      <c r="C274" s="423"/>
      <c r="D274" s="423"/>
      <c r="E274" s="423"/>
      <c r="F274" s="423"/>
      <c r="G274" s="423"/>
      <c r="H274" s="423"/>
      <c r="I274" s="146" t="s">
        <v>273</v>
      </c>
      <c r="J274" s="112"/>
      <c r="K274" s="417"/>
      <c r="L274" s="417"/>
      <c r="M274" s="417"/>
      <c r="N274" s="417"/>
      <c r="O274" s="417"/>
      <c r="P274" s="141"/>
      <c r="Q274" s="141"/>
      <c r="R274" s="141"/>
      <c r="S274" s="141"/>
    </row>
    <row r="275" spans="1:21">
      <c r="B275" s="112"/>
      <c r="C275" s="112"/>
      <c r="D275" s="112"/>
      <c r="E275" s="112"/>
      <c r="F275" s="112"/>
      <c r="G275" s="112"/>
      <c r="H275" s="112"/>
      <c r="I275" s="112"/>
      <c r="J275" s="112"/>
      <c r="K275" s="141"/>
      <c r="L275" s="141"/>
      <c r="M275" s="141"/>
      <c r="N275" s="141"/>
      <c r="O275" s="141"/>
      <c r="P275" s="141"/>
      <c r="Q275" s="141"/>
      <c r="R275" s="141"/>
      <c r="S275" s="141"/>
    </row>
    <row r="278" spans="1:21" s="3" customFormat="1">
      <c r="A278" s="110" t="s">
        <v>322</v>
      </c>
      <c r="B278" s="352" t="s">
        <v>323</v>
      </c>
      <c r="C278" s="352"/>
      <c r="D278" s="352"/>
      <c r="E278" s="352"/>
      <c r="F278" s="352"/>
      <c r="G278" s="352"/>
      <c r="H278" s="352"/>
      <c r="I278" s="352"/>
      <c r="J278" s="352"/>
      <c r="K278" s="352"/>
      <c r="L278" s="352"/>
      <c r="M278" s="352"/>
      <c r="N278" s="352"/>
      <c r="O278" s="352"/>
      <c r="P278" s="352"/>
      <c r="Q278" s="352"/>
      <c r="R278" s="352"/>
      <c r="S278" s="352"/>
      <c r="T278" s="352"/>
      <c r="U278" s="137"/>
    </row>
    <row r="280" spans="1:21">
      <c r="B280" s="341" t="s">
        <v>324</v>
      </c>
      <c r="C280" s="341"/>
      <c r="D280" s="341"/>
      <c r="E280" s="341"/>
      <c r="F280" s="341"/>
      <c r="G280" s="341"/>
      <c r="H280" s="407"/>
      <c r="I280" s="142" t="s">
        <v>268</v>
      </c>
      <c r="K280" s="345" t="str">
        <f>IF(I280="OUI","Quel est le montant ?","")</f>
        <v>Quel est le montant ?</v>
      </c>
      <c r="L280" s="345"/>
      <c r="M280" s="345"/>
      <c r="N280" s="345"/>
      <c r="O280" s="345"/>
      <c r="P280" s="416">
        <v>2500000</v>
      </c>
      <c r="Q280" s="416"/>
      <c r="R280" s="416"/>
      <c r="S280" s="416"/>
    </row>
    <row r="282" spans="1:21">
      <c r="B282" s="341" t="s">
        <v>325</v>
      </c>
      <c r="C282" s="341"/>
      <c r="D282" s="341"/>
      <c r="E282" s="341"/>
      <c r="F282" s="341"/>
      <c r="G282" s="341"/>
      <c r="H282" s="407"/>
      <c r="I282" s="142" t="s">
        <v>273</v>
      </c>
      <c r="K282" s="345" t="str">
        <f>IF(I282="OUI","Quel est le montant ?","")</f>
        <v/>
      </c>
      <c r="L282" s="345"/>
      <c r="M282" s="345"/>
      <c r="N282" s="345"/>
      <c r="O282" s="345"/>
      <c r="P282" s="416"/>
      <c r="Q282" s="416"/>
      <c r="R282" s="416"/>
      <c r="S282" s="416"/>
    </row>
    <row r="284" spans="1:21">
      <c r="B284" s="341" t="s">
        <v>326</v>
      </c>
      <c r="C284" s="341"/>
      <c r="D284" s="341"/>
      <c r="E284" s="341"/>
      <c r="F284" s="341"/>
      <c r="G284" s="341"/>
      <c r="H284" s="407"/>
      <c r="I284" s="142" t="s">
        <v>268</v>
      </c>
      <c r="K284" s="345" t="str">
        <f>IF(I284="OUI","Quel est le montant ?","")</f>
        <v>Quel est le montant ?</v>
      </c>
      <c r="L284" s="345"/>
      <c r="M284" s="345"/>
      <c r="N284" s="345"/>
      <c r="O284" s="345"/>
      <c r="P284" s="416"/>
      <c r="Q284" s="416"/>
      <c r="R284" s="416"/>
      <c r="S284" s="416"/>
    </row>
    <row r="286" spans="1:21">
      <c r="B286" s="341" t="s">
        <v>327</v>
      </c>
      <c r="C286" s="341"/>
      <c r="D286" s="341"/>
      <c r="E286" s="341"/>
      <c r="F286" s="341"/>
      <c r="G286" s="341"/>
      <c r="H286" s="407"/>
      <c r="I286" s="142" t="s">
        <v>268</v>
      </c>
      <c r="K286" s="345" t="str">
        <f>IF(I286="OUI","Quel est le montant ?","")</f>
        <v>Quel est le montant ?</v>
      </c>
      <c r="L286" s="345"/>
      <c r="M286" s="345"/>
      <c r="N286" s="345"/>
      <c r="O286" s="345"/>
      <c r="P286" s="416"/>
      <c r="Q286" s="416"/>
      <c r="R286" s="416"/>
      <c r="S286" s="416"/>
    </row>
    <row r="287" spans="1:21">
      <c r="K287" s="2" t="str">
        <f>IF(P286="OUI","Évalués  à :","")</f>
        <v/>
      </c>
    </row>
    <row r="289" spans="1:22" s="3" customFormat="1">
      <c r="A289" s="110" t="s">
        <v>328</v>
      </c>
      <c r="B289" s="352" t="s">
        <v>329</v>
      </c>
      <c r="C289" s="352"/>
      <c r="D289" s="352"/>
      <c r="E289" s="352"/>
      <c r="F289" s="352"/>
      <c r="G289" s="352"/>
      <c r="H289" s="352"/>
      <c r="I289" s="352"/>
      <c r="J289" s="352"/>
      <c r="K289" s="352"/>
      <c r="L289" s="352"/>
      <c r="M289" s="352"/>
      <c r="N289" s="352"/>
      <c r="O289" s="111"/>
      <c r="P289" s="111"/>
      <c r="Q289" s="111"/>
      <c r="R289" s="111"/>
      <c r="S289" s="111"/>
      <c r="T289" s="111"/>
      <c r="U289" s="137"/>
    </row>
    <row r="291" spans="1:22">
      <c r="B291" s="341" t="s">
        <v>330</v>
      </c>
      <c r="C291" s="341"/>
      <c r="D291" s="341"/>
      <c r="E291" s="341"/>
      <c r="F291" s="341"/>
      <c r="G291" s="341"/>
      <c r="H291" s="407"/>
      <c r="I291" s="142" t="s">
        <v>268</v>
      </c>
      <c r="K291" s="345" t="str">
        <f>IF(I291="OUI","On peut évaluer à","")</f>
        <v>On peut évaluer à</v>
      </c>
      <c r="L291" s="345"/>
      <c r="M291" s="345"/>
      <c r="N291" s="345"/>
      <c r="O291" s="345"/>
      <c r="P291" s="416">
        <v>100000000</v>
      </c>
      <c r="Q291" s="416"/>
      <c r="R291" s="416"/>
      <c r="S291" s="416"/>
    </row>
    <row r="293" spans="1:22">
      <c r="B293" s="341" t="s">
        <v>331</v>
      </c>
      <c r="C293" s="341"/>
      <c r="D293" s="341"/>
      <c r="E293" s="341"/>
      <c r="F293" s="341"/>
      <c r="G293" s="341"/>
      <c r="H293" s="407"/>
      <c r="I293" s="142" t="s">
        <v>273</v>
      </c>
      <c r="K293" s="345" t="str">
        <f>IF(I293="OUI","On peut évaluer à","")</f>
        <v/>
      </c>
      <c r="L293" s="345"/>
      <c r="M293" s="345"/>
      <c r="N293" s="345"/>
      <c r="O293" s="345"/>
      <c r="P293" s="416"/>
      <c r="Q293" s="416"/>
      <c r="R293" s="416"/>
      <c r="S293" s="416"/>
    </row>
    <row r="295" spans="1:22">
      <c r="B295" s="341" t="s">
        <v>332</v>
      </c>
      <c r="C295" s="341"/>
      <c r="D295" s="341"/>
      <c r="E295" s="341"/>
      <c r="F295" s="341"/>
      <c r="G295" s="341"/>
      <c r="H295" s="407"/>
      <c r="I295" s="142" t="s">
        <v>268</v>
      </c>
      <c r="K295" s="345" t="str">
        <f>IF(I295="OUI","On peut évaluer à","")</f>
        <v>On peut évaluer à</v>
      </c>
      <c r="L295" s="345"/>
      <c r="M295" s="345"/>
      <c r="N295" s="345"/>
      <c r="O295" s="345"/>
      <c r="P295" s="416">
        <v>30000000</v>
      </c>
      <c r="Q295" s="416"/>
      <c r="R295" s="416"/>
      <c r="S295" s="416"/>
    </row>
    <row r="297" spans="1:22">
      <c r="B297" s="341" t="s">
        <v>333</v>
      </c>
      <c r="C297" s="341"/>
      <c r="D297" s="341"/>
      <c r="E297" s="341"/>
      <c r="F297" s="341"/>
      <c r="G297" s="341"/>
      <c r="H297" s="407"/>
      <c r="I297" s="142" t="s">
        <v>273</v>
      </c>
      <c r="K297" s="345" t="str">
        <f>IF(I297="OUI","On peut évaluer à","")</f>
        <v/>
      </c>
      <c r="L297" s="345"/>
      <c r="M297" s="345"/>
      <c r="N297" s="345"/>
      <c r="O297" s="345"/>
      <c r="P297" s="416"/>
      <c r="Q297" s="416"/>
      <c r="R297" s="416"/>
      <c r="S297" s="416"/>
    </row>
    <row r="299" spans="1:22">
      <c r="B299" s="341" t="s">
        <v>334</v>
      </c>
      <c r="C299" s="341"/>
      <c r="D299" s="341"/>
      <c r="E299" s="341"/>
      <c r="F299" s="341"/>
      <c r="G299" s="341"/>
      <c r="H299" s="407"/>
      <c r="I299" s="142" t="s">
        <v>273</v>
      </c>
      <c r="K299" s="345" t="str">
        <f>IF(I299="OUI","On peut évaluer à","")</f>
        <v/>
      </c>
      <c r="L299" s="345"/>
      <c r="M299" s="345"/>
      <c r="N299" s="345"/>
      <c r="O299" s="345"/>
      <c r="P299" s="416"/>
      <c r="Q299" s="416"/>
      <c r="R299" s="416"/>
      <c r="S299" s="416"/>
    </row>
    <row r="301" spans="1:22">
      <c r="B301" s="122"/>
      <c r="C301" s="123"/>
      <c r="D301" s="123"/>
      <c r="E301" s="123"/>
      <c r="F301" s="123"/>
      <c r="G301" s="123"/>
      <c r="H301" s="123"/>
      <c r="I301" s="123"/>
      <c r="J301" s="123"/>
      <c r="K301" s="123"/>
      <c r="L301" s="123"/>
      <c r="M301" s="123"/>
      <c r="N301" s="123"/>
      <c r="O301" s="123"/>
      <c r="P301" s="123"/>
      <c r="Q301" s="123"/>
      <c r="R301" s="123"/>
      <c r="S301" s="123"/>
      <c r="T301" s="151"/>
      <c r="U301" s="152"/>
    </row>
    <row r="302" spans="1:22">
      <c r="B302" s="425" t="s">
        <v>241</v>
      </c>
      <c r="C302" s="326"/>
      <c r="D302" s="326"/>
      <c r="E302" s="326"/>
      <c r="F302" s="326"/>
      <c r="P302" s="326" t="s">
        <v>241</v>
      </c>
      <c r="Q302" s="326"/>
      <c r="R302" s="326"/>
      <c r="S302" s="326"/>
      <c r="T302" s="426"/>
      <c r="U302" s="2"/>
      <c r="V302" s="56"/>
    </row>
    <row r="303" spans="1:22">
      <c r="B303" s="425" t="s">
        <v>242</v>
      </c>
      <c r="C303" s="326"/>
      <c r="D303" s="326"/>
      <c r="E303" s="326"/>
      <c r="F303" s="326"/>
      <c r="P303" s="326" t="s">
        <v>243</v>
      </c>
      <c r="Q303" s="326"/>
      <c r="R303" s="326"/>
      <c r="S303" s="326"/>
      <c r="T303" s="426"/>
      <c r="U303" s="2"/>
      <c r="V303" s="56"/>
    </row>
    <row r="304" spans="1:22">
      <c r="B304" s="427"/>
      <c r="C304" s="327"/>
      <c r="D304" s="327"/>
      <c r="E304" s="327"/>
      <c r="F304" s="327"/>
      <c r="P304" s="327"/>
      <c r="Q304" s="327"/>
      <c r="R304" s="327"/>
      <c r="S304" s="327"/>
      <c r="T304" s="430"/>
      <c r="U304" s="152"/>
    </row>
    <row r="305" spans="1:21">
      <c r="B305" s="427"/>
      <c r="C305" s="327"/>
      <c r="D305" s="327"/>
      <c r="E305" s="327"/>
      <c r="F305" s="327"/>
      <c r="P305" s="327"/>
      <c r="Q305" s="327"/>
      <c r="R305" s="327"/>
      <c r="S305" s="327"/>
      <c r="T305" s="430"/>
      <c r="U305" s="152"/>
    </row>
    <row r="306" spans="1:21">
      <c r="B306" s="428"/>
      <c r="C306" s="429"/>
      <c r="D306" s="429"/>
      <c r="E306" s="429"/>
      <c r="F306" s="429"/>
      <c r="G306" s="148"/>
      <c r="H306" s="148"/>
      <c r="I306" s="148"/>
      <c r="J306" s="148"/>
      <c r="K306" s="148"/>
      <c r="L306" s="148"/>
      <c r="M306" s="148"/>
      <c r="N306" s="148"/>
      <c r="O306" s="148"/>
      <c r="P306" s="429"/>
      <c r="Q306" s="429"/>
      <c r="R306" s="429"/>
      <c r="S306" s="429"/>
      <c r="T306" s="431"/>
      <c r="U306" s="152"/>
    </row>
    <row r="307" spans="1:21" ht="4.1500000000000004" customHeight="1">
      <c r="A307" s="149"/>
      <c r="B307" s="150"/>
      <c r="C307" s="150"/>
      <c r="D307" s="150"/>
      <c r="E307" s="150"/>
      <c r="F307" s="150"/>
      <c r="G307" s="150"/>
      <c r="H307" s="150"/>
      <c r="I307" s="150"/>
      <c r="J307" s="150"/>
      <c r="K307" s="150"/>
      <c r="L307" s="150"/>
      <c r="M307" s="150"/>
      <c r="N307" s="150"/>
      <c r="O307" s="150"/>
      <c r="P307" s="150"/>
      <c r="Q307" s="150"/>
      <c r="R307" s="150"/>
      <c r="S307" s="150"/>
      <c r="T307" s="150"/>
    </row>
  </sheetData>
  <sheetProtection algorithmName="SHA-512" hashValue="AqKRq/XLuTfGNsx2UAOlYr1yKO4yXiiMYhab4dqPLlBSJHwsa8HRX+kPp5mJkxQAkRza+66wH12vChkoZVncCQ==" saltValue="XCNIjncwHa59rKbjq6B/8g==" spinCount="100000" sheet="1" objects="1" scenarios="1" selectLockedCells="1"/>
  <mergeCells count="497">
    <mergeCell ref="B240:S242"/>
    <mergeCell ref="B299:H299"/>
    <mergeCell ref="K299:O299"/>
    <mergeCell ref="P299:S299"/>
    <mergeCell ref="B302:F302"/>
    <mergeCell ref="P302:T302"/>
    <mergeCell ref="B303:F303"/>
    <mergeCell ref="P303:T303"/>
    <mergeCell ref="B304:F306"/>
    <mergeCell ref="P304:T306"/>
    <mergeCell ref="B293:H293"/>
    <mergeCell ref="K293:O293"/>
    <mergeCell ref="P293:S293"/>
    <mergeCell ref="B295:H295"/>
    <mergeCell ref="K295:O295"/>
    <mergeCell ref="P295:S295"/>
    <mergeCell ref="B297:H297"/>
    <mergeCell ref="K297:O297"/>
    <mergeCell ref="P297:S297"/>
    <mergeCell ref="B284:H284"/>
    <mergeCell ref="K284:O284"/>
    <mergeCell ref="P284:S284"/>
    <mergeCell ref="B286:H286"/>
    <mergeCell ref="K286:O286"/>
    <mergeCell ref="P286:S286"/>
    <mergeCell ref="B289:N289"/>
    <mergeCell ref="B291:H291"/>
    <mergeCell ref="K291:O291"/>
    <mergeCell ref="P291:S291"/>
    <mergeCell ref="B274:H274"/>
    <mergeCell ref="K274:O274"/>
    <mergeCell ref="B278:T278"/>
    <mergeCell ref="B280:H280"/>
    <mergeCell ref="K280:O280"/>
    <mergeCell ref="P280:S280"/>
    <mergeCell ref="B282:H282"/>
    <mergeCell ref="K282:O282"/>
    <mergeCell ref="P282:S282"/>
    <mergeCell ref="K266:O266"/>
    <mergeCell ref="P266:S266"/>
    <mergeCell ref="B268:H268"/>
    <mergeCell ref="K268:O268"/>
    <mergeCell ref="K269:O269"/>
    <mergeCell ref="P269:S269"/>
    <mergeCell ref="B271:H271"/>
    <mergeCell ref="K271:O271"/>
    <mergeCell ref="K272:O272"/>
    <mergeCell ref="P272:S272"/>
    <mergeCell ref="B259:H259"/>
    <mergeCell ref="K259:O259"/>
    <mergeCell ref="K260:O260"/>
    <mergeCell ref="P260:S260"/>
    <mergeCell ref="B262:H262"/>
    <mergeCell ref="K262:O262"/>
    <mergeCell ref="K263:O263"/>
    <mergeCell ref="P263:S263"/>
    <mergeCell ref="B265:H265"/>
    <mergeCell ref="K265:O265"/>
    <mergeCell ref="K251:O251"/>
    <mergeCell ref="P251:S251"/>
    <mergeCell ref="B253:H253"/>
    <mergeCell ref="K253:O253"/>
    <mergeCell ref="K254:O254"/>
    <mergeCell ref="P254:S254"/>
    <mergeCell ref="B256:H256"/>
    <mergeCell ref="K256:O256"/>
    <mergeCell ref="K257:O257"/>
    <mergeCell ref="P257:S257"/>
    <mergeCell ref="B244:H244"/>
    <mergeCell ref="K244:O244"/>
    <mergeCell ref="K245:O245"/>
    <mergeCell ref="P245:S245"/>
    <mergeCell ref="B247:H247"/>
    <mergeCell ref="K247:O247"/>
    <mergeCell ref="K248:O248"/>
    <mergeCell ref="P248:S248"/>
    <mergeCell ref="B250:H250"/>
    <mergeCell ref="K250:O250"/>
    <mergeCell ref="K230:O230"/>
    <mergeCell ref="P230:S230"/>
    <mergeCell ref="B232:H232"/>
    <mergeCell ref="K232:O232"/>
    <mergeCell ref="K233:O233"/>
    <mergeCell ref="P233:S233"/>
    <mergeCell ref="B236:N236"/>
    <mergeCell ref="B238:I238"/>
    <mergeCell ref="L238:O238"/>
    <mergeCell ref="P238:S238"/>
    <mergeCell ref="B223:H223"/>
    <mergeCell ref="K223:O223"/>
    <mergeCell ref="K224:O224"/>
    <mergeCell ref="P224:S224"/>
    <mergeCell ref="B226:H226"/>
    <mergeCell ref="K226:O226"/>
    <mergeCell ref="K227:O227"/>
    <mergeCell ref="P227:S227"/>
    <mergeCell ref="B229:H229"/>
    <mergeCell ref="K229:O229"/>
    <mergeCell ref="K215:O215"/>
    <mergeCell ref="P215:S215"/>
    <mergeCell ref="B217:H217"/>
    <mergeCell ref="K217:O217"/>
    <mergeCell ref="K218:O218"/>
    <mergeCell ref="P218:S218"/>
    <mergeCell ref="B220:H220"/>
    <mergeCell ref="K220:O220"/>
    <mergeCell ref="K221:O221"/>
    <mergeCell ref="P221:S221"/>
    <mergeCell ref="B208:H208"/>
    <mergeCell ref="K208:O208"/>
    <mergeCell ref="K209:O209"/>
    <mergeCell ref="P209:S209"/>
    <mergeCell ref="B211:H211"/>
    <mergeCell ref="K211:O211"/>
    <mergeCell ref="K212:O212"/>
    <mergeCell ref="P212:S212"/>
    <mergeCell ref="B214:H214"/>
    <mergeCell ref="K214:O214"/>
    <mergeCell ref="K200:O200"/>
    <mergeCell ref="P200:S200"/>
    <mergeCell ref="B202:H202"/>
    <mergeCell ref="K202:O202"/>
    <mergeCell ref="K203:O203"/>
    <mergeCell ref="P203:S203"/>
    <mergeCell ref="B205:H205"/>
    <mergeCell ref="K205:O205"/>
    <mergeCell ref="K206:O206"/>
    <mergeCell ref="P206:S206"/>
    <mergeCell ref="B193:H193"/>
    <mergeCell ref="K193:O193"/>
    <mergeCell ref="K194:O194"/>
    <mergeCell ref="P194:S194"/>
    <mergeCell ref="B196:H196"/>
    <mergeCell ref="K196:O196"/>
    <mergeCell ref="K197:O197"/>
    <mergeCell ref="P197:S197"/>
    <mergeCell ref="B199:H199"/>
    <mergeCell ref="K199:O199"/>
    <mergeCell ref="K185:O185"/>
    <mergeCell ref="P185:S185"/>
    <mergeCell ref="B187:H187"/>
    <mergeCell ref="K187:O187"/>
    <mergeCell ref="K188:O188"/>
    <mergeCell ref="P188:S188"/>
    <mergeCell ref="B190:H190"/>
    <mergeCell ref="K190:O190"/>
    <mergeCell ref="K191:O191"/>
    <mergeCell ref="P191:S191"/>
    <mergeCell ref="B178:H178"/>
    <mergeCell ref="K178:O178"/>
    <mergeCell ref="K179:O179"/>
    <mergeCell ref="P179:S179"/>
    <mergeCell ref="B181:H181"/>
    <mergeCell ref="K181:O181"/>
    <mergeCell ref="K182:O182"/>
    <mergeCell ref="P182:S182"/>
    <mergeCell ref="B184:H184"/>
    <mergeCell ref="K184:O184"/>
    <mergeCell ref="B170:H170"/>
    <mergeCell ref="K170:O170"/>
    <mergeCell ref="K171:O171"/>
    <mergeCell ref="P171:S171"/>
    <mergeCell ref="B173:T173"/>
    <mergeCell ref="B174:T174"/>
    <mergeCell ref="B175:H175"/>
    <mergeCell ref="K175:O175"/>
    <mergeCell ref="K176:O176"/>
    <mergeCell ref="P176:S176"/>
    <mergeCell ref="K162:O162"/>
    <mergeCell ref="P162:S162"/>
    <mergeCell ref="B164:H164"/>
    <mergeCell ref="K164:O164"/>
    <mergeCell ref="K165:O165"/>
    <mergeCell ref="P165:S165"/>
    <mergeCell ref="B167:H167"/>
    <mergeCell ref="K167:O167"/>
    <mergeCell ref="K168:O168"/>
    <mergeCell ref="P168:S168"/>
    <mergeCell ref="B155:H155"/>
    <mergeCell ref="K155:O155"/>
    <mergeCell ref="K156:O156"/>
    <mergeCell ref="P156:S156"/>
    <mergeCell ref="B158:H158"/>
    <mergeCell ref="K158:O158"/>
    <mergeCell ref="K159:O159"/>
    <mergeCell ref="P159:S159"/>
    <mergeCell ref="B161:H161"/>
    <mergeCell ref="K161:O161"/>
    <mergeCell ref="K147:O147"/>
    <mergeCell ref="P147:S147"/>
    <mergeCell ref="B149:H149"/>
    <mergeCell ref="K149:O149"/>
    <mergeCell ref="K150:O150"/>
    <mergeCell ref="P150:S150"/>
    <mergeCell ref="B152:H152"/>
    <mergeCell ref="K152:O152"/>
    <mergeCell ref="K153:O153"/>
    <mergeCell ref="P153:S153"/>
    <mergeCell ref="B140:H140"/>
    <mergeCell ref="K140:O140"/>
    <mergeCell ref="K141:O141"/>
    <mergeCell ref="P141:S141"/>
    <mergeCell ref="B143:H143"/>
    <mergeCell ref="K143:O143"/>
    <mergeCell ref="K144:O144"/>
    <mergeCell ref="P144:S144"/>
    <mergeCell ref="B146:H146"/>
    <mergeCell ref="K146:O146"/>
    <mergeCell ref="K132:O132"/>
    <mergeCell ref="P132:S132"/>
    <mergeCell ref="B134:H134"/>
    <mergeCell ref="K134:O134"/>
    <mergeCell ref="K135:O135"/>
    <mergeCell ref="P135:S135"/>
    <mergeCell ref="B137:H137"/>
    <mergeCell ref="K137:O137"/>
    <mergeCell ref="K138:O138"/>
    <mergeCell ref="P138:S138"/>
    <mergeCell ref="B126:H126"/>
    <mergeCell ref="K126:O126"/>
    <mergeCell ref="H128:I128"/>
    <mergeCell ref="J128:M128"/>
    <mergeCell ref="N128:Q128"/>
    <mergeCell ref="H129:I129"/>
    <mergeCell ref="J129:M129"/>
    <mergeCell ref="N129:P129"/>
    <mergeCell ref="B131:H131"/>
    <mergeCell ref="K131:O131"/>
    <mergeCell ref="B120:G120"/>
    <mergeCell ref="H120:I120"/>
    <mergeCell ref="J120:L120"/>
    <mergeCell ref="M120:P120"/>
    <mergeCell ref="J121:L121"/>
    <mergeCell ref="M121:P121"/>
    <mergeCell ref="B123:H123"/>
    <mergeCell ref="J123:O123"/>
    <mergeCell ref="K124:O124"/>
    <mergeCell ref="P124:S124"/>
    <mergeCell ref="B117:G117"/>
    <mergeCell ref="H117:I117"/>
    <mergeCell ref="J117:L117"/>
    <mergeCell ref="M117:P117"/>
    <mergeCell ref="B118:G118"/>
    <mergeCell ref="H118:I118"/>
    <mergeCell ref="J118:L118"/>
    <mergeCell ref="M118:P118"/>
    <mergeCell ref="B119:G119"/>
    <mergeCell ref="H119:I119"/>
    <mergeCell ref="J119:L119"/>
    <mergeCell ref="M119:P119"/>
    <mergeCell ref="B114:G114"/>
    <mergeCell ref="H114:I114"/>
    <mergeCell ref="J114:L114"/>
    <mergeCell ref="M114:P114"/>
    <mergeCell ref="B115:G115"/>
    <mergeCell ref="H115:I115"/>
    <mergeCell ref="J115:L115"/>
    <mergeCell ref="M115:P115"/>
    <mergeCell ref="B116:G116"/>
    <mergeCell ref="H116:I116"/>
    <mergeCell ref="J116:L116"/>
    <mergeCell ref="M116:P116"/>
    <mergeCell ref="B111:G111"/>
    <mergeCell ref="H111:I111"/>
    <mergeCell ref="J111:L111"/>
    <mergeCell ref="M111:P111"/>
    <mergeCell ref="B112:G112"/>
    <mergeCell ref="H112:I112"/>
    <mergeCell ref="J112:L112"/>
    <mergeCell ref="M112:P112"/>
    <mergeCell ref="B113:G113"/>
    <mergeCell ref="H113:I113"/>
    <mergeCell ref="J113:L113"/>
    <mergeCell ref="M113:P113"/>
    <mergeCell ref="B108:G108"/>
    <mergeCell ref="H108:I108"/>
    <mergeCell ref="J108:L108"/>
    <mergeCell ref="M108:P108"/>
    <mergeCell ref="B109:G109"/>
    <mergeCell ref="H109:I109"/>
    <mergeCell ref="J109:L109"/>
    <mergeCell ref="M109:P109"/>
    <mergeCell ref="B110:G110"/>
    <mergeCell ref="H110:I110"/>
    <mergeCell ref="J110:L110"/>
    <mergeCell ref="M110:P110"/>
    <mergeCell ref="B105:P105"/>
    <mergeCell ref="B106:G106"/>
    <mergeCell ref="H106:I106"/>
    <mergeCell ref="J106:L106"/>
    <mergeCell ref="M106:P106"/>
    <mergeCell ref="B107:G107"/>
    <mergeCell ref="H107:I107"/>
    <mergeCell ref="J107:L107"/>
    <mergeCell ref="M107:P107"/>
    <mergeCell ref="B99:H99"/>
    <mergeCell ref="K99:O99"/>
    <mergeCell ref="K100:O100"/>
    <mergeCell ref="P100:S100"/>
    <mergeCell ref="C101:G101"/>
    <mergeCell ref="B103:P103"/>
    <mergeCell ref="B104:G104"/>
    <mergeCell ref="H104:I104"/>
    <mergeCell ref="J104:L104"/>
    <mergeCell ref="M104:P104"/>
    <mergeCell ref="B91:S91"/>
    <mergeCell ref="B93:H93"/>
    <mergeCell ref="K93:O93"/>
    <mergeCell ref="K94:O94"/>
    <mergeCell ref="P94:S94"/>
    <mergeCell ref="B96:H96"/>
    <mergeCell ref="K96:O96"/>
    <mergeCell ref="K97:O97"/>
    <mergeCell ref="P97:S97"/>
    <mergeCell ref="B82:S82"/>
    <mergeCell ref="B84:H84"/>
    <mergeCell ref="K84:N84"/>
    <mergeCell ref="B85:S85"/>
    <mergeCell ref="B87:H87"/>
    <mergeCell ref="K87:N87"/>
    <mergeCell ref="B88:S88"/>
    <mergeCell ref="B90:H90"/>
    <mergeCell ref="K90:N90"/>
    <mergeCell ref="B73:I73"/>
    <mergeCell ref="B75:H75"/>
    <mergeCell ref="K75:N75"/>
    <mergeCell ref="K76:O76"/>
    <mergeCell ref="P76:S76"/>
    <mergeCell ref="B78:H78"/>
    <mergeCell ref="K78:N78"/>
    <mergeCell ref="B79:S79"/>
    <mergeCell ref="B81:H81"/>
    <mergeCell ref="K81:N81"/>
    <mergeCell ref="B69:D69"/>
    <mergeCell ref="E69:G69"/>
    <mergeCell ref="H69:J69"/>
    <mergeCell ref="K69:L69"/>
    <mergeCell ref="M69:O69"/>
    <mergeCell ref="P69:R69"/>
    <mergeCell ref="B70:L70"/>
    <mergeCell ref="M70:O70"/>
    <mergeCell ref="P70:R70"/>
    <mergeCell ref="B67:D67"/>
    <mergeCell ref="E67:G67"/>
    <mergeCell ref="H67:J67"/>
    <mergeCell ref="K67:L67"/>
    <mergeCell ref="M67:O67"/>
    <mergeCell ref="P67:R67"/>
    <mergeCell ref="B68:D68"/>
    <mergeCell ref="E68:G68"/>
    <mergeCell ref="H68:J68"/>
    <mergeCell ref="K68:L68"/>
    <mergeCell ref="M68:O68"/>
    <mergeCell ref="P68:R68"/>
    <mergeCell ref="B65:D65"/>
    <mergeCell ref="E65:G65"/>
    <mergeCell ref="H65:J65"/>
    <mergeCell ref="K65:L65"/>
    <mergeCell ref="M65:O65"/>
    <mergeCell ref="P65:R65"/>
    <mergeCell ref="B66:D66"/>
    <mergeCell ref="E66:G66"/>
    <mergeCell ref="H66:J66"/>
    <mergeCell ref="K66:L66"/>
    <mergeCell ref="M66:O66"/>
    <mergeCell ref="P66:R66"/>
    <mergeCell ref="B63:D63"/>
    <mergeCell ref="E63:G63"/>
    <mergeCell ref="H63:J63"/>
    <mergeCell ref="K63:L63"/>
    <mergeCell ref="M63:O63"/>
    <mergeCell ref="P63:R63"/>
    <mergeCell ref="B64:D64"/>
    <mergeCell ref="E64:G64"/>
    <mergeCell ref="H64:J64"/>
    <mergeCell ref="K64:L64"/>
    <mergeCell ref="M64:O64"/>
    <mergeCell ref="P64:R64"/>
    <mergeCell ref="B61:D61"/>
    <mergeCell ref="E61:G61"/>
    <mergeCell ref="H61:J61"/>
    <mergeCell ref="K61:L61"/>
    <mergeCell ref="M61:O61"/>
    <mergeCell ref="P61:R61"/>
    <mergeCell ref="B62:D62"/>
    <mergeCell ref="E62:G62"/>
    <mergeCell ref="H62:J62"/>
    <mergeCell ref="K62:L62"/>
    <mergeCell ref="M62:O62"/>
    <mergeCell ref="P62:R62"/>
    <mergeCell ref="B59:D59"/>
    <mergeCell ref="E59:G59"/>
    <mergeCell ref="H59:J59"/>
    <mergeCell ref="K59:L59"/>
    <mergeCell ref="M59:O59"/>
    <mergeCell ref="P59:R59"/>
    <mergeCell ref="B60:D60"/>
    <mergeCell ref="E60:G60"/>
    <mergeCell ref="H60:J60"/>
    <mergeCell ref="K60:L60"/>
    <mergeCell ref="M60:O60"/>
    <mergeCell ref="P60:R60"/>
    <mergeCell ref="B57:D57"/>
    <mergeCell ref="E57:G57"/>
    <mergeCell ref="H57:J57"/>
    <mergeCell ref="K57:L57"/>
    <mergeCell ref="M57:O57"/>
    <mergeCell ref="P57:R57"/>
    <mergeCell ref="B58:D58"/>
    <mergeCell ref="E58:G58"/>
    <mergeCell ref="H58:J58"/>
    <mergeCell ref="K58:L58"/>
    <mergeCell ref="M58:O58"/>
    <mergeCell ref="P58:R58"/>
    <mergeCell ref="P53:R53"/>
    <mergeCell ref="B54:R54"/>
    <mergeCell ref="B55:D55"/>
    <mergeCell ref="E55:G55"/>
    <mergeCell ref="H55:J55"/>
    <mergeCell ref="K55:L55"/>
    <mergeCell ref="M55:O55"/>
    <mergeCell ref="P55:R55"/>
    <mergeCell ref="B56:D56"/>
    <mergeCell ref="E56:G56"/>
    <mergeCell ref="H56:J56"/>
    <mergeCell ref="K56:L56"/>
    <mergeCell ref="M56:O56"/>
    <mergeCell ref="P56:R56"/>
    <mergeCell ref="B46:I46"/>
    <mergeCell ref="B47:H47"/>
    <mergeCell ref="K47:O47"/>
    <mergeCell ref="B49:H49"/>
    <mergeCell ref="B51:H51"/>
    <mergeCell ref="I51:L51"/>
    <mergeCell ref="M51:O51"/>
    <mergeCell ref="B53:D53"/>
    <mergeCell ref="E53:G53"/>
    <mergeCell ref="H53:J53"/>
    <mergeCell ref="K53:L53"/>
    <mergeCell ref="M53:O53"/>
    <mergeCell ref="J40:L40"/>
    <mergeCell ref="M40:O40"/>
    <mergeCell ref="J41:L41"/>
    <mergeCell ref="M41:O41"/>
    <mergeCell ref="J42:L42"/>
    <mergeCell ref="M42:O42"/>
    <mergeCell ref="G43:L43"/>
    <mergeCell ref="M43:O43"/>
    <mergeCell ref="G44:L44"/>
    <mergeCell ref="M44:O44"/>
    <mergeCell ref="C30:F30"/>
    <mergeCell ref="I30:L30"/>
    <mergeCell ref="B32:G32"/>
    <mergeCell ref="O33:R33"/>
    <mergeCell ref="O34:R34"/>
    <mergeCell ref="O35:R35"/>
    <mergeCell ref="O36:R36"/>
    <mergeCell ref="B38:H38"/>
    <mergeCell ref="J39:L39"/>
    <mergeCell ref="M39:O39"/>
    <mergeCell ref="B23:E23"/>
    <mergeCell ref="I23:L23"/>
    <mergeCell ref="B24:F24"/>
    <mergeCell ref="I24:L24"/>
    <mergeCell ref="B25:G25"/>
    <mergeCell ref="I25:L25"/>
    <mergeCell ref="B27:G27"/>
    <mergeCell ref="B28:G28"/>
    <mergeCell ref="C29:G29"/>
    <mergeCell ref="I29:L29"/>
    <mergeCell ref="C16:H16"/>
    <mergeCell ref="I16:L16"/>
    <mergeCell ref="I18:L18"/>
    <mergeCell ref="I19:K19"/>
    <mergeCell ref="B20:F20"/>
    <mergeCell ref="I20:L20"/>
    <mergeCell ref="I21:K21"/>
    <mergeCell ref="B22:D22"/>
    <mergeCell ref="I22:K22"/>
    <mergeCell ref="I7:L7"/>
    <mergeCell ref="I8:L8"/>
    <mergeCell ref="I9:L9"/>
    <mergeCell ref="B11:G11"/>
    <mergeCell ref="I12:L12"/>
    <mergeCell ref="C14:H14"/>
    <mergeCell ref="I14:L14"/>
    <mergeCell ref="C15:H15"/>
    <mergeCell ref="I15:L15"/>
    <mergeCell ref="B1:T1"/>
    <mergeCell ref="B3:C3"/>
    <mergeCell ref="D3:E3"/>
    <mergeCell ref="F3:H3"/>
    <mergeCell ref="I3:O3"/>
    <mergeCell ref="P3:Q3"/>
    <mergeCell ref="R3:T3"/>
    <mergeCell ref="B5:G5"/>
    <mergeCell ref="I6:T6"/>
  </mergeCells>
  <conditionalFormatting sqref="B79">
    <cfRule type="expression" dxfId="215" priority="14">
      <formula>$P$78="OUI"</formula>
    </cfRule>
  </conditionalFormatting>
  <conditionalFormatting sqref="B82">
    <cfRule type="expression" dxfId="214" priority="13">
      <formula>$P$81="OUI"</formula>
    </cfRule>
  </conditionalFormatting>
  <conditionalFormatting sqref="B85">
    <cfRule type="expression" dxfId="213" priority="12">
      <formula>$P$84="OUI"</formula>
    </cfRule>
  </conditionalFormatting>
  <conditionalFormatting sqref="B88">
    <cfRule type="expression" dxfId="212" priority="11">
      <formula>$P$87="OUI"</formula>
    </cfRule>
  </conditionalFormatting>
  <conditionalFormatting sqref="B91">
    <cfRule type="expression" dxfId="211" priority="10">
      <formula>$P$90="OUI"</formula>
    </cfRule>
  </conditionalFormatting>
  <conditionalFormatting sqref="B14:H16">
    <cfRule type="expression" dxfId="210" priority="50">
      <formula>$I$12="Invest+Fonds de roulement"</formula>
    </cfRule>
    <cfRule type="expression" dxfId="209" priority="51">
      <formula>$I$12="Investissement"</formula>
    </cfRule>
  </conditionalFormatting>
  <conditionalFormatting sqref="B55:L69">
    <cfRule type="expression" dxfId="208" priority="43">
      <formula>$I$49="OUI"</formula>
    </cfRule>
  </conditionalFormatting>
  <conditionalFormatting sqref="B106:L120">
    <cfRule type="expression" dxfId="207" priority="39">
      <formula>$I$101="OUI"</formula>
    </cfRule>
  </conditionalFormatting>
  <conditionalFormatting sqref="B104:P105">
    <cfRule type="expression" dxfId="206" priority="40">
      <formula>$I$101="OUI"</formula>
    </cfRule>
  </conditionalFormatting>
  <conditionalFormatting sqref="B104:P120 M107:P121">
    <cfRule type="expression" dxfId="205" priority="37">
      <formula>$I$101="OUI"</formula>
    </cfRule>
  </conditionalFormatting>
  <conditionalFormatting sqref="B53:R53 B54">
    <cfRule type="expression" dxfId="204" priority="49">
      <formula>$I$49="OUI"</formula>
    </cfRule>
  </conditionalFormatting>
  <conditionalFormatting sqref="B53:R53">
    <cfRule type="expression" dxfId="203" priority="46">
      <formula>$I$49="OUI"</formula>
    </cfRule>
  </conditionalFormatting>
  <conditionalFormatting sqref="B53:R69 T53:T70 M70:R70">
    <cfRule type="expression" dxfId="202" priority="47">
      <formula>$I$49="OUI"</formula>
    </cfRule>
  </conditionalFormatting>
  <conditionalFormatting sqref="B103:S103 Q104:S121 M106:P121 B121:L121">
    <cfRule type="expression" dxfId="201" priority="38">
      <formula>$I$101="OUI"</formula>
    </cfRule>
  </conditionalFormatting>
  <conditionalFormatting sqref="B240:S242">
    <cfRule type="expression" dxfId="200" priority="25">
      <formula>$J$238="NON"</formula>
    </cfRule>
  </conditionalFormatting>
  <conditionalFormatting sqref="B240:S275">
    <cfRule type="expression" dxfId="199" priority="24">
      <formula>$J$238="NON"</formula>
    </cfRule>
  </conditionalFormatting>
  <conditionalFormatting sqref="B28:T28 B29:C29 H29:T29 B30:T44">
    <cfRule type="expression" dxfId="198" priority="3">
      <formula>$I$12="Bon de commande"</formula>
    </cfRule>
  </conditionalFormatting>
  <conditionalFormatting sqref="C39:I39">
    <cfRule type="containsText" dxfId="197" priority="219" operator="containsText" text="Faux">
      <formula>NOT(ISERROR(SEARCH("Faux",C39)))</formula>
    </cfRule>
  </conditionalFormatting>
  <conditionalFormatting sqref="I244">
    <cfRule type="expression" dxfId="196" priority="36">
      <formula>$J$238="NON"</formula>
    </cfRule>
  </conditionalFormatting>
  <conditionalFormatting sqref="I247">
    <cfRule type="expression" dxfId="195" priority="35">
      <formula>$J$238="NON"</formula>
    </cfRule>
  </conditionalFormatting>
  <conditionalFormatting sqref="I250">
    <cfRule type="expression" dxfId="194" priority="33">
      <formula>$J$238="NON"</formula>
    </cfRule>
  </conditionalFormatting>
  <conditionalFormatting sqref="I253">
    <cfRule type="expression" dxfId="193" priority="32">
      <formula>$J$238="NON"</formula>
    </cfRule>
  </conditionalFormatting>
  <conditionalFormatting sqref="I256">
    <cfRule type="expression" dxfId="192" priority="31">
      <formula>$J$238="NON"</formula>
    </cfRule>
  </conditionalFormatting>
  <conditionalFormatting sqref="I259">
    <cfRule type="expression" dxfId="191" priority="30">
      <formula>$J$238="NON"</formula>
    </cfRule>
  </conditionalFormatting>
  <conditionalFormatting sqref="I262">
    <cfRule type="expression" dxfId="190" priority="29">
      <formula>$J$238="NON"</formula>
    </cfRule>
  </conditionalFormatting>
  <conditionalFormatting sqref="I265">
    <cfRule type="expression" dxfId="189" priority="28">
      <formula>$J$238="NON"</formula>
    </cfRule>
  </conditionalFormatting>
  <conditionalFormatting sqref="I268">
    <cfRule type="expression" dxfId="188" priority="27">
      <formula>$J$238="NON"</formula>
    </cfRule>
  </conditionalFormatting>
  <conditionalFormatting sqref="I271">
    <cfRule type="expression" dxfId="187" priority="26">
      <formula>$J$238="NON"</formula>
    </cfRule>
  </conditionalFormatting>
  <conditionalFormatting sqref="I274">
    <cfRule type="expression" dxfId="186" priority="7">
      <formula>$J$238="NON"</formula>
    </cfRule>
  </conditionalFormatting>
  <conditionalFormatting sqref="I14:L16">
    <cfRule type="expression" dxfId="185" priority="52">
      <formula>$I$12="Invest+Fonds de roulement"</formula>
    </cfRule>
    <cfRule type="expression" dxfId="184" priority="53">
      <formula>$I$12="Investissement"</formula>
    </cfRule>
  </conditionalFormatting>
  <conditionalFormatting sqref="I51:L51">
    <cfRule type="expression" dxfId="183" priority="1">
      <formula>$B$51="Marché/Bon de commande - Fréquence unique"</formula>
    </cfRule>
    <cfRule type="expression" dxfId="182" priority="48">
      <formula>$I$49="OUI"</formula>
    </cfRule>
  </conditionalFormatting>
  <conditionalFormatting sqref="J40:L40">
    <cfRule type="cellIs" dxfId="181" priority="204" operator="lessThan">
      <formula>$J$41</formula>
    </cfRule>
  </conditionalFormatting>
  <conditionalFormatting sqref="J40:L41">
    <cfRule type="cellIs" dxfId="180" priority="203" operator="lessThan">
      <formula>$J$42</formula>
    </cfRule>
  </conditionalFormatting>
  <conditionalFormatting sqref="J41:L42">
    <cfRule type="cellIs" dxfId="179" priority="202" operator="greaterThan">
      <formula>$J$40</formula>
    </cfRule>
  </conditionalFormatting>
  <conditionalFormatting sqref="J42:L42">
    <cfRule type="cellIs" dxfId="178" priority="218" operator="greaterThan">
      <formula>$J$41</formula>
    </cfRule>
  </conditionalFormatting>
  <conditionalFormatting sqref="J128:M129">
    <cfRule type="expression" dxfId="177" priority="175">
      <formula>$P$126="OUI"</formula>
    </cfRule>
  </conditionalFormatting>
  <conditionalFormatting sqref="M51:T51 B51:H52 I52:T52 S53:S70 B70:L70">
    <cfRule type="expression" dxfId="176" priority="44">
      <formula>$I$49="OUI"</formula>
    </cfRule>
  </conditionalFormatting>
  <conditionalFormatting sqref="O34:R34">
    <cfRule type="cellIs" dxfId="175" priority="210" operator="lessThan">
      <formula>$O$35</formula>
    </cfRule>
  </conditionalFormatting>
  <conditionalFormatting sqref="O34:R35">
    <cfRule type="cellIs" dxfId="174" priority="207" operator="lessThan">
      <formula>$O$36</formula>
    </cfRule>
  </conditionalFormatting>
  <conditionalFormatting sqref="O35:R36">
    <cfRule type="cellIs" dxfId="173" priority="206" operator="greaterThan">
      <formula>$O$34</formula>
    </cfRule>
  </conditionalFormatting>
  <conditionalFormatting sqref="O36:R36">
    <cfRule type="cellIs" dxfId="172" priority="205" operator="greaterThan">
      <formula>$O$35</formula>
    </cfRule>
  </conditionalFormatting>
  <conditionalFormatting sqref="P47">
    <cfRule type="expression" dxfId="171" priority="148">
      <formula>$I$47="OUI"</formula>
    </cfRule>
  </conditionalFormatting>
  <conditionalFormatting sqref="P51">
    <cfRule type="expression" dxfId="170" priority="41">
      <formula>$M$51="Précisez ici (ratio en mois)"</formula>
    </cfRule>
    <cfRule type="expression" dxfId="169" priority="42">
      <formula>$M$51="Nombre de jours dans le mois"</formula>
    </cfRule>
    <cfRule type="expression" dxfId="168" priority="213">
      <formula>OR($I$51="Journalière",$I$51="Autre")</formula>
    </cfRule>
  </conditionalFormatting>
  <conditionalFormatting sqref="P75">
    <cfRule type="expression" dxfId="167" priority="188">
      <formula>$I$75="OUI"</formula>
    </cfRule>
  </conditionalFormatting>
  <conditionalFormatting sqref="P78">
    <cfRule type="expression" dxfId="166" priority="201">
      <formula>$I$78="OUI"</formula>
    </cfRule>
  </conditionalFormatting>
  <conditionalFormatting sqref="P81">
    <cfRule type="expression" dxfId="165" priority="199">
      <formula>$I$81="OUI"</formula>
    </cfRule>
  </conditionalFormatting>
  <conditionalFormatting sqref="P84">
    <cfRule type="expression" dxfId="164" priority="197">
      <formula>$I$84="OUI"</formula>
    </cfRule>
  </conditionalFormatting>
  <conditionalFormatting sqref="P87">
    <cfRule type="expression" dxfId="163" priority="195">
      <formula>$I$87="OUI"</formula>
    </cfRule>
  </conditionalFormatting>
  <conditionalFormatting sqref="P90">
    <cfRule type="expression" dxfId="162" priority="193">
      <formula>$I$90="OUI"</formula>
    </cfRule>
  </conditionalFormatting>
  <conditionalFormatting sqref="P93">
    <cfRule type="expression" dxfId="161" priority="185">
      <formula>$I$93="OUI"</formula>
    </cfRule>
  </conditionalFormatting>
  <conditionalFormatting sqref="P96">
    <cfRule type="expression" dxfId="160" priority="183">
      <formula>$I$96="OUI"</formula>
    </cfRule>
  </conditionalFormatting>
  <conditionalFormatting sqref="P99">
    <cfRule type="expression" dxfId="159" priority="181">
      <formula>$I$99="OUI"</formula>
    </cfRule>
  </conditionalFormatting>
  <conditionalFormatting sqref="P123">
    <cfRule type="expression" dxfId="158" priority="6">
      <formula>$I$123="OUI"</formula>
    </cfRule>
  </conditionalFormatting>
  <conditionalFormatting sqref="P126">
    <cfRule type="expression" dxfId="157" priority="179">
      <formula>$I$126="OUI"</formula>
    </cfRule>
  </conditionalFormatting>
  <conditionalFormatting sqref="P131">
    <cfRule type="expression" dxfId="156" priority="174">
      <formula>$I$131="OUI"</formula>
    </cfRule>
  </conditionalFormatting>
  <conditionalFormatting sqref="P134">
    <cfRule type="expression" dxfId="155" priority="172">
      <formula>$I$134="OUI"</formula>
    </cfRule>
  </conditionalFormatting>
  <conditionalFormatting sqref="P137">
    <cfRule type="expression" dxfId="154" priority="170">
      <formula>$I$137="OUI"</formula>
    </cfRule>
  </conditionalFormatting>
  <conditionalFormatting sqref="P140">
    <cfRule type="expression" dxfId="153" priority="168">
      <formula>$I$140="OUI"</formula>
    </cfRule>
  </conditionalFormatting>
  <conditionalFormatting sqref="P143">
    <cfRule type="expression" dxfId="152" priority="166">
      <formula>$I$143="OUI"</formula>
    </cfRule>
  </conditionalFormatting>
  <conditionalFormatting sqref="P146">
    <cfRule type="expression" dxfId="151" priority="164">
      <formula>$I$146="OUI"</formula>
    </cfRule>
  </conditionalFormatting>
  <conditionalFormatting sqref="P149">
    <cfRule type="expression" dxfId="150" priority="9">
      <formula>$I$149="OUI"</formula>
    </cfRule>
  </conditionalFormatting>
  <conditionalFormatting sqref="P152">
    <cfRule type="expression" dxfId="149" priority="162">
      <formula>$I$152="OUI"</formula>
    </cfRule>
  </conditionalFormatting>
  <conditionalFormatting sqref="P155">
    <cfRule type="expression" dxfId="148" priority="160">
      <formula>$I$155="OUI"</formula>
    </cfRule>
  </conditionalFormatting>
  <conditionalFormatting sqref="P158">
    <cfRule type="expression" dxfId="147" priority="158">
      <formula>$I$158="OUI"</formula>
    </cfRule>
  </conditionalFormatting>
  <conditionalFormatting sqref="P161">
    <cfRule type="expression" dxfId="146" priority="156">
      <formula>$I$161="OUI"</formula>
    </cfRule>
  </conditionalFormatting>
  <conditionalFormatting sqref="P164">
    <cfRule type="expression" dxfId="145" priority="154">
      <formula>$I$164="OUI"</formula>
    </cfRule>
  </conditionalFormatting>
  <conditionalFormatting sqref="P167">
    <cfRule type="expression" dxfId="144" priority="152">
      <formula>$I$167="OUI"</formula>
    </cfRule>
  </conditionalFormatting>
  <conditionalFormatting sqref="P170">
    <cfRule type="expression" dxfId="143" priority="113">
      <formula>$I$170="OUI"</formula>
    </cfRule>
  </conditionalFormatting>
  <conditionalFormatting sqref="P175">
    <cfRule type="expression" dxfId="142" priority="147">
      <formula>$I$175="OUI"</formula>
    </cfRule>
  </conditionalFormatting>
  <conditionalFormatting sqref="P178">
    <cfRule type="expression" dxfId="141" priority="145">
      <formula>$I$178="OUI"</formula>
    </cfRule>
  </conditionalFormatting>
  <conditionalFormatting sqref="P181">
    <cfRule type="expression" dxfId="140" priority="143">
      <formula>$I$181="OUI"</formula>
    </cfRule>
  </conditionalFormatting>
  <conditionalFormatting sqref="P184">
    <cfRule type="expression" dxfId="139" priority="141">
      <formula>$I$184="OUI"</formula>
    </cfRule>
  </conditionalFormatting>
  <conditionalFormatting sqref="P187">
    <cfRule type="expression" dxfId="138" priority="139">
      <formula>$I$187="OUI"</formula>
    </cfRule>
  </conditionalFormatting>
  <conditionalFormatting sqref="P190">
    <cfRule type="expression" dxfId="137" priority="137">
      <formula>$I$190="OUI"</formula>
    </cfRule>
  </conditionalFormatting>
  <conditionalFormatting sqref="P193">
    <cfRule type="expression" dxfId="136" priority="135">
      <formula>$I$193="OUI"</formula>
    </cfRule>
  </conditionalFormatting>
  <conditionalFormatting sqref="P196">
    <cfRule type="expression" dxfId="135" priority="133">
      <formula>$I$196="OUI"</formula>
    </cfRule>
  </conditionalFormatting>
  <conditionalFormatting sqref="P199">
    <cfRule type="expression" dxfId="134" priority="131">
      <formula>$I$199="OUI"</formula>
    </cfRule>
  </conditionalFormatting>
  <conditionalFormatting sqref="P202">
    <cfRule type="expression" dxfId="133" priority="129">
      <formula>$I$202="OUI"</formula>
    </cfRule>
  </conditionalFormatting>
  <conditionalFormatting sqref="P205">
    <cfRule type="expression" dxfId="132" priority="127">
      <formula>$I$205="OUI"</formula>
    </cfRule>
  </conditionalFormatting>
  <conditionalFormatting sqref="P208">
    <cfRule type="expression" dxfId="131" priority="125">
      <formula>$I$208="OUI"</formula>
    </cfRule>
  </conditionalFormatting>
  <conditionalFormatting sqref="P211">
    <cfRule type="expression" dxfId="130" priority="123">
      <formula>$I$211="OUI"</formula>
    </cfRule>
  </conditionalFormatting>
  <conditionalFormatting sqref="P214">
    <cfRule type="expression" dxfId="129" priority="121">
      <formula>$I$214="OUI"</formula>
    </cfRule>
  </conditionalFormatting>
  <conditionalFormatting sqref="P217">
    <cfRule type="expression" dxfId="128" priority="119">
      <formula>$I$217="OUI"</formula>
    </cfRule>
  </conditionalFormatting>
  <conditionalFormatting sqref="P220">
    <cfRule type="expression" dxfId="127" priority="117">
      <formula>$I$220="OUI"</formula>
    </cfRule>
  </conditionalFormatting>
  <conditionalFormatting sqref="P223">
    <cfRule type="expression" dxfId="126" priority="115">
      <formula>$I$223="OUI"</formula>
    </cfRule>
  </conditionalFormatting>
  <conditionalFormatting sqref="P226">
    <cfRule type="expression" dxfId="125" priority="111">
      <formula>$I$226="OUI"</formula>
    </cfRule>
  </conditionalFormatting>
  <conditionalFormatting sqref="P229">
    <cfRule type="expression" dxfId="124" priority="109">
      <formula>$I$229="OUI"</formula>
    </cfRule>
  </conditionalFormatting>
  <conditionalFormatting sqref="P232">
    <cfRule type="expression" dxfId="123" priority="105">
      <formula>$I$232="OUI"</formula>
    </cfRule>
  </conditionalFormatting>
  <conditionalFormatting sqref="P244">
    <cfRule type="expression" dxfId="122" priority="102">
      <formula>$I$244="OUI"</formula>
    </cfRule>
  </conditionalFormatting>
  <conditionalFormatting sqref="P247">
    <cfRule type="expression" dxfId="121" priority="100">
      <formula>$I$247="OUI"</formula>
    </cfRule>
  </conditionalFormatting>
  <conditionalFormatting sqref="P250">
    <cfRule type="expression" dxfId="120" priority="98">
      <formula>$I$250="OUI"</formula>
    </cfRule>
  </conditionalFormatting>
  <conditionalFormatting sqref="P253">
    <cfRule type="expression" dxfId="119" priority="96">
      <formula>$I$253="OUI"</formula>
    </cfRule>
  </conditionalFormatting>
  <conditionalFormatting sqref="P256">
    <cfRule type="expression" dxfId="118" priority="94">
      <formula>$I$256="OUI"</formula>
    </cfRule>
  </conditionalFormatting>
  <conditionalFormatting sqref="P259">
    <cfRule type="expression" dxfId="117" priority="92">
      <formula>$I$259="OUI"</formula>
    </cfRule>
  </conditionalFormatting>
  <conditionalFormatting sqref="P262">
    <cfRule type="expression" dxfId="116" priority="90">
      <formula>$I$262="OUI"</formula>
    </cfRule>
  </conditionalFormatting>
  <conditionalFormatting sqref="P265">
    <cfRule type="expression" dxfId="115" priority="88">
      <formula>$I$265="OUI"</formula>
    </cfRule>
  </conditionalFormatting>
  <conditionalFormatting sqref="P268">
    <cfRule type="expression" dxfId="114" priority="84">
      <formula>$I$268="OUI"</formula>
    </cfRule>
  </conditionalFormatting>
  <conditionalFormatting sqref="P271">
    <cfRule type="expression" dxfId="113" priority="82">
      <formula>$I$271="OUI"</formula>
    </cfRule>
  </conditionalFormatting>
  <conditionalFormatting sqref="P15:S15">
    <cfRule type="expression" dxfId="112" priority="220">
      <formula>$M$14="Combien est prévu pour le fonds de roulement ?"</formula>
    </cfRule>
  </conditionalFormatting>
  <conditionalFormatting sqref="P76:S76">
    <cfRule type="expression" dxfId="111" priority="187">
      <formula>$P$75="OUI"</formula>
    </cfRule>
  </conditionalFormatting>
  <conditionalFormatting sqref="P94:S94">
    <cfRule type="expression" dxfId="110" priority="184">
      <formula>$P$93="OUI"</formula>
    </cfRule>
  </conditionalFormatting>
  <conditionalFormatting sqref="P97:S97">
    <cfRule type="expression" dxfId="109" priority="182">
      <formula>$P$96="OUI"</formula>
    </cfRule>
  </conditionalFormatting>
  <conditionalFormatting sqref="P100:S100">
    <cfRule type="expression" dxfId="108" priority="180">
      <formula>$P$99="OUI"</formula>
    </cfRule>
  </conditionalFormatting>
  <conditionalFormatting sqref="P124:S124">
    <cfRule type="expression" dxfId="107" priority="5">
      <formula>$P$123="OUI"</formula>
    </cfRule>
  </conditionalFormatting>
  <conditionalFormatting sqref="P132:S132">
    <cfRule type="expression" dxfId="106" priority="173">
      <formula>$P$131="OUI"</formula>
    </cfRule>
  </conditionalFormatting>
  <conditionalFormatting sqref="P135:S135">
    <cfRule type="expression" dxfId="105" priority="171">
      <formula>$P$134="OUI"</formula>
    </cfRule>
  </conditionalFormatting>
  <conditionalFormatting sqref="P138:S138">
    <cfRule type="expression" dxfId="104" priority="169">
      <formula>$P$137="OUI"</formula>
    </cfRule>
  </conditionalFormatting>
  <conditionalFormatting sqref="P141:S141">
    <cfRule type="expression" dxfId="103" priority="167">
      <formula>$P$140="OUI"</formula>
    </cfRule>
  </conditionalFormatting>
  <conditionalFormatting sqref="P144:S144">
    <cfRule type="expression" dxfId="102" priority="165">
      <formula>$P$143="OUI"</formula>
    </cfRule>
  </conditionalFormatting>
  <conditionalFormatting sqref="P147:S147">
    <cfRule type="expression" dxfId="101" priority="163">
      <formula>$P$146="OUI"</formula>
    </cfRule>
  </conditionalFormatting>
  <conditionalFormatting sqref="P150:S150">
    <cfRule type="expression" dxfId="100" priority="8">
      <formula>$P$149="OUI"</formula>
    </cfRule>
  </conditionalFormatting>
  <conditionalFormatting sqref="P153:S153">
    <cfRule type="expression" dxfId="99" priority="161">
      <formula>$P$152="OUI"</formula>
    </cfRule>
  </conditionalFormatting>
  <conditionalFormatting sqref="P156:S156">
    <cfRule type="expression" dxfId="98" priority="159">
      <formula>$P$155="OUI"</formula>
    </cfRule>
  </conditionalFormatting>
  <conditionalFormatting sqref="P159:S159">
    <cfRule type="expression" dxfId="97" priority="2">
      <formula>$P$158="OUI"</formula>
    </cfRule>
  </conditionalFormatting>
  <conditionalFormatting sqref="P162:S162">
    <cfRule type="expression" dxfId="96" priority="155">
      <formula>$P$161="OUI"</formula>
    </cfRule>
  </conditionalFormatting>
  <conditionalFormatting sqref="P165:S165">
    <cfRule type="expression" dxfId="95" priority="153">
      <formula>$P$164="OUI"</formula>
    </cfRule>
  </conditionalFormatting>
  <conditionalFormatting sqref="P168:S168">
    <cfRule type="expression" dxfId="94" priority="151">
      <formula>$P$167="OUI"</formula>
    </cfRule>
  </conditionalFormatting>
  <conditionalFormatting sqref="P171:S171">
    <cfRule type="expression" dxfId="93" priority="112">
      <formula>$P$170="OUI"</formula>
    </cfRule>
  </conditionalFormatting>
  <conditionalFormatting sqref="P176:S176">
    <cfRule type="expression" dxfId="92" priority="146">
      <formula>$P$175="OUI"</formula>
    </cfRule>
  </conditionalFormatting>
  <conditionalFormatting sqref="P179:S179">
    <cfRule type="expression" dxfId="91" priority="144">
      <formula>$P$178="OUI"</formula>
    </cfRule>
  </conditionalFormatting>
  <conditionalFormatting sqref="P182:S182">
    <cfRule type="expression" dxfId="90" priority="142">
      <formula>$P$181="OUI"</formula>
    </cfRule>
  </conditionalFormatting>
  <conditionalFormatting sqref="P185:S185">
    <cfRule type="expression" dxfId="89" priority="140">
      <formula>$P$184="OUI"</formula>
    </cfRule>
  </conditionalFormatting>
  <conditionalFormatting sqref="P188:S188">
    <cfRule type="expression" dxfId="88" priority="138">
      <formula>$P$187="OUI"</formula>
    </cfRule>
  </conditionalFormatting>
  <conditionalFormatting sqref="P191:S191">
    <cfRule type="expression" dxfId="87" priority="136">
      <formula>$P$190="OUI"</formula>
    </cfRule>
  </conditionalFormatting>
  <conditionalFormatting sqref="P194:S194">
    <cfRule type="expression" dxfId="86" priority="134">
      <formula>$P$193="OUI"</formula>
    </cfRule>
  </conditionalFormatting>
  <conditionalFormatting sqref="P197:S197">
    <cfRule type="expression" dxfId="85" priority="132">
      <formula>$P$196="OUI"</formula>
    </cfRule>
  </conditionalFormatting>
  <conditionalFormatting sqref="P200:S200">
    <cfRule type="expression" dxfId="84" priority="130">
      <formula>$P$199="OUI"</formula>
    </cfRule>
  </conditionalFormatting>
  <conditionalFormatting sqref="P203:S203">
    <cfRule type="expression" dxfId="83" priority="128">
      <formula>$P$202="OUI"</formula>
    </cfRule>
  </conditionalFormatting>
  <conditionalFormatting sqref="P206:S206">
    <cfRule type="expression" dxfId="82" priority="126">
      <formula>$P$205="OUI"</formula>
    </cfRule>
  </conditionalFormatting>
  <conditionalFormatting sqref="P209:S209">
    <cfRule type="expression" dxfId="81" priority="124">
      <formula>$P$208="OUI"</formula>
    </cfRule>
  </conditionalFormatting>
  <conditionalFormatting sqref="P212:S212">
    <cfRule type="expression" dxfId="80" priority="122">
      <formula>$P$211="OUI"</formula>
    </cfRule>
  </conditionalFormatting>
  <conditionalFormatting sqref="P215:S215">
    <cfRule type="expression" dxfId="79" priority="120">
      <formula>$P$214="OUI"</formula>
    </cfRule>
  </conditionalFormatting>
  <conditionalFormatting sqref="P218:S218">
    <cfRule type="expression" dxfId="78" priority="118">
      <formula>$P$217="OUI"</formula>
    </cfRule>
  </conditionalFormatting>
  <conditionalFormatting sqref="P221:S221">
    <cfRule type="expression" dxfId="77" priority="116">
      <formula>$P$220="OUI"</formula>
    </cfRule>
  </conditionalFormatting>
  <conditionalFormatting sqref="P224:S224">
    <cfRule type="expression" dxfId="76" priority="114">
      <formula>$P$223="OUI"</formula>
    </cfRule>
  </conditionalFormatting>
  <conditionalFormatting sqref="P227:S227">
    <cfRule type="expression" dxfId="75" priority="110">
      <formula>$P$226="OUI"</formula>
    </cfRule>
  </conditionalFormatting>
  <conditionalFormatting sqref="P230:S230">
    <cfRule type="expression" dxfId="74" priority="108">
      <formula>$P$229="OUI"</formula>
    </cfRule>
  </conditionalFormatting>
  <conditionalFormatting sqref="P233:S233">
    <cfRule type="expression" dxfId="73" priority="104">
      <formula>$P$232="OUI"</formula>
    </cfRule>
  </conditionalFormatting>
  <conditionalFormatting sqref="P238:S238">
    <cfRule type="expression" dxfId="72" priority="103">
      <formula>$J$238="OUI"</formula>
    </cfRule>
  </conditionalFormatting>
  <conditionalFormatting sqref="P245:S245">
    <cfRule type="expression" dxfId="71" priority="101">
      <formula>$P$244="OUI"</formula>
    </cfRule>
  </conditionalFormatting>
  <conditionalFormatting sqref="P248:S248">
    <cfRule type="expression" dxfId="70" priority="99">
      <formula>$P$247="OUI"</formula>
    </cfRule>
  </conditionalFormatting>
  <conditionalFormatting sqref="P251:S251">
    <cfRule type="expression" dxfId="69" priority="97">
      <formula>$P$250="OUI"</formula>
    </cfRule>
  </conditionalFormatting>
  <conditionalFormatting sqref="P254:S254">
    <cfRule type="expression" dxfId="68" priority="95">
      <formula>$P$253="OUI"</formula>
    </cfRule>
  </conditionalFormatting>
  <conditionalFormatting sqref="P257:S257">
    <cfRule type="expression" dxfId="67" priority="93">
      <formula>$P$256="OUI"</formula>
    </cfRule>
  </conditionalFormatting>
  <conditionalFormatting sqref="P260:S260">
    <cfRule type="expression" dxfId="66" priority="91">
      <formula>$P$259="OUI"</formula>
    </cfRule>
  </conditionalFormatting>
  <conditionalFormatting sqref="P263:S263">
    <cfRule type="expression" dxfId="65" priority="89">
      <formula>$P$262="OUI"</formula>
    </cfRule>
  </conditionalFormatting>
  <conditionalFormatting sqref="P266:S266">
    <cfRule type="expression" dxfId="64" priority="87">
      <formula>$P$265="OUI"</formula>
    </cfRule>
  </conditionalFormatting>
  <conditionalFormatting sqref="P269:S269">
    <cfRule type="expression" dxfId="63" priority="83">
      <formula>$P$268="OUI"</formula>
    </cfRule>
  </conditionalFormatting>
  <conditionalFormatting sqref="P272:S272">
    <cfRule type="expression" dxfId="62" priority="81">
      <formula>$P$271="OUI"</formula>
    </cfRule>
  </conditionalFormatting>
  <conditionalFormatting sqref="P280:S280">
    <cfRule type="expression" dxfId="61" priority="79">
      <formula>$I$280="OUI"</formula>
    </cfRule>
  </conditionalFormatting>
  <conditionalFormatting sqref="P282:S282">
    <cfRule type="expression" dxfId="60" priority="60">
      <formula>$I$282="OUI"</formula>
    </cfRule>
  </conditionalFormatting>
  <conditionalFormatting sqref="P284:S284">
    <cfRule type="expression" dxfId="59" priority="59">
      <formula>$I$284="OUI"</formula>
    </cfRule>
  </conditionalFormatting>
  <conditionalFormatting sqref="P286:S286">
    <cfRule type="expression" dxfId="58" priority="58">
      <formula>$I$286="OUI"</formula>
    </cfRule>
  </conditionalFormatting>
  <conditionalFormatting sqref="P291:S291">
    <cfRule type="expression" dxfId="57" priority="69">
      <formula>$I$291="OUI"</formula>
    </cfRule>
  </conditionalFormatting>
  <conditionalFormatting sqref="P293:S293">
    <cfRule type="expression" dxfId="56" priority="57">
      <formula>$I$293="OUI"</formula>
    </cfRule>
  </conditionalFormatting>
  <conditionalFormatting sqref="P295:S295">
    <cfRule type="expression" dxfId="55" priority="56">
      <formula>$I$295="OUI"</formula>
    </cfRule>
  </conditionalFormatting>
  <conditionalFormatting sqref="P297:S297">
    <cfRule type="expression" dxfId="54" priority="55">
      <formula>$I$297="OUI"</formula>
    </cfRule>
  </conditionalFormatting>
  <conditionalFormatting sqref="P299:S299">
    <cfRule type="expression" dxfId="53" priority="54">
      <formula>$I$299="OUI"</formula>
    </cfRule>
  </conditionalFormatting>
  <conditionalFormatting sqref="R128:S128 B128:I129 N128:N129 Q129:S129">
    <cfRule type="expression" dxfId="52" priority="23">
      <formula>$P$126="OUI"</formula>
    </cfRule>
  </conditionalFormatting>
  <conditionalFormatting sqref="T53">
    <cfRule type="expression" dxfId="51" priority="45">
      <formula>$I$49="OUI"</formula>
    </cfRule>
  </conditionalFormatting>
  <dataValidations count="8">
    <dataValidation type="list" allowBlank="1" showInputMessage="1" showErrorMessage="1" sqref="I9">
      <formula1>INDIRECT($I$8)</formula1>
    </dataValidation>
    <dataValidation type="whole" operator="greaterThan" allowBlank="1" showInputMessage="1" showErrorMessage="1" errorTitle="Attention !" error="Le montant doit être supérieur aux autres montants" sqref="J40:L40">
      <formula1>J41</formula1>
    </dataValidation>
    <dataValidation type="whole" operator="greaterThan" allowBlank="1" showInputMessage="1" showErrorMessage="1" sqref="J41:L41">
      <formula1>J42</formula1>
    </dataValidation>
    <dataValidation type="whole" operator="lessThan" allowBlank="1" showInputMessage="1" showErrorMessage="1" errorTitle="Attention !" error="Le montant doit être inférieur aux autres montants" sqref="J42:L42">
      <formula1>J40</formula1>
    </dataValidation>
    <dataValidation type="list" allowBlank="1" showInputMessage="1" showErrorMessage="1" sqref="I47 I49 I75 P75 I78 P78 I81 P81 I84 P84 I87 P87 I90 P90 I93 P93 I96 P96 I99 P99 I101 I123 P123 I126 P126 I131 P131 I134 P134 I137 P137 I140 P140 I143 P143 I146 P146 I149 P149 I152 P152 I155 P155 I158 P158 I161 P161 I164 P164 I167 P167 I170 P170 I175 P175 I178 P178 I181 P181 I184 P184 I187 P187 I190 P190 I193 P193 I196 P196 I199 P199 I202 P202 I205 P205 I208 P208 I211 P211 I214 P214 I217 P217 I220 P220 I223 P223 I226 P226 I229 P229 I232 P232 J238 I244 P244 I247 P247 I250 P250 I253 P253 I256 P256 I259 P259 I262 P262 I265 P265 I268 P268 I271 P271 I274 I280 I282 I284 I286 I291 I293 I295 I297 I299">
      <formula1>"OUI,NON"</formula1>
    </dataValidation>
    <dataValidation type="decimal" operator="lessThan" allowBlank="1" showInputMessage="1" showErrorMessage="1" sqref="P47">
      <formula1>1</formula1>
    </dataValidation>
    <dataValidation type="list" allowBlank="1" showInputMessage="1" showErrorMessage="1" sqref="I51:L51">
      <formula1>"Journalière,Hebdomadaire,Mensuelle"</formula1>
    </dataValidation>
    <dataValidation type="list" allowBlank="1" showInputMessage="1" showErrorMessage="1" sqref="C40:I42 C34:N36">
      <formula1>"X"</formula1>
    </dataValidation>
  </dataValidations>
  <hyperlinks>
    <hyperlink ref="B79:S79" location="Amorts!A1" display="=SI(P78=&quot;OUI&quot;,&quot;Référez-vous à la feuille _ Amorts&quot;,&quot;&quot;)"/>
    <hyperlink ref="B82:S82" location="Amorts!A1" display="=SI(P81=&quot;OUI&quot;,&quot;Référez-vous à la feuille _ Amorts&quot;,&quot;&quot;)"/>
    <hyperlink ref="B85:S85" location="Amorts!A1" display="=SI(P84=&quot;OUI&quot;,&quot;Référez-vous à la feuille _ Amorts&quot;,&quot;&quot;)"/>
    <hyperlink ref="B88:S88" location="Amorts!A1" display="=SI(P87=&quot;OUI&quot;,&quot;Référez-vous à la feuille _ Amorts&quot;,&quot;&quot;)"/>
    <hyperlink ref="B91:S91" location="Amorts!A1" display="=SI(P90=&quot;OUI&quot;,&quot;Référez-vous à la feuille _ Amorts&quot;,&quot;&quot;)"/>
  </hyperlinks>
  <pageMargins left="0.70866141732283505" right="0.70866141732283505" top="0.35433070866141703" bottom="0.15748031496063" header="0.31496062992126" footer="0.31496062992126"/>
  <pageSetup paperSize="9" scale="85" orientation="landscape" r:id="rId1"/>
  <headerFooter>
    <oddFooter>&amp;C
&amp;1#&amp;"Calibri"&amp;10&amp;K000000 Usage Interne</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15" id="{CD913CC7-DC24-46E3-A513-86E5EC9B7888}">
            <xm:f>CRG!$S$14=1</xm:f>
            <x14:dxf>
              <fill>
                <patternFill patternType="solid">
                  <bgColor rgb="FFFF0000"/>
                </patternFill>
              </fill>
            </x14:dxf>
          </x14:cfRule>
          <xm:sqref>C33:R36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2:T106"/>
  <sheetViews>
    <sheetView showGridLines="0" workbookViewId="0">
      <pane xSplit="2" ySplit="5" topLeftCell="E6" activePane="bottomRight" state="frozen"/>
      <selection pane="topRight"/>
      <selection pane="bottomLeft"/>
      <selection pane="bottomRight" activeCell="D6" sqref="D6"/>
    </sheetView>
  </sheetViews>
  <sheetFormatPr baseColWidth="10" defaultColWidth="11.5" defaultRowHeight="13.5"/>
  <cols>
    <col min="1" max="1" width="4.125" style="2" customWidth="1"/>
    <col min="2" max="2" width="4.5" style="2" customWidth="1"/>
    <col min="3" max="3" width="26.5" style="2" customWidth="1"/>
    <col min="4" max="4" width="23.875" style="2" customWidth="1"/>
    <col min="5" max="5" width="18.375" style="79" customWidth="1"/>
    <col min="6" max="6" width="13.125" style="45" customWidth="1"/>
    <col min="7" max="7" width="21.75" style="80" customWidth="1"/>
    <col min="8" max="8" width="22.5" style="2" customWidth="1"/>
    <col min="9" max="9" width="20.25" style="2" customWidth="1"/>
    <col min="10" max="10" width="16.5" style="81" customWidth="1"/>
    <col min="11" max="11" width="20.75" style="2" customWidth="1"/>
    <col min="12" max="12" width="21.125" style="2" customWidth="1"/>
    <col min="13" max="13" width="16.375" style="45" hidden="1" customWidth="1"/>
    <col min="14" max="14" width="8.5" style="2" customWidth="1"/>
    <col min="15" max="15" width="11" style="2" hidden="1" customWidth="1"/>
    <col min="16" max="16" width="11" style="45" hidden="1" customWidth="1"/>
    <col min="17" max="17" width="11" style="2" hidden="1" customWidth="1"/>
    <col min="18" max="18" width="10.875" style="45" hidden="1" customWidth="1"/>
    <col min="19" max="19" width="9.75" style="2" hidden="1" customWidth="1"/>
    <col min="20" max="20" width="17.5" style="2" hidden="1" customWidth="1"/>
    <col min="21" max="16384" width="11.5" style="2"/>
  </cols>
  <sheetData>
    <row r="2" spans="2:19">
      <c r="C2" s="432" t="s">
        <v>335</v>
      </c>
      <c r="E2" s="79" t="str">
        <f>IF(E3&lt;&gt;"","Date d'évaluation","")</f>
        <v>Date d'évaluation</v>
      </c>
      <c r="F2" s="433" t="str">
        <f>IF(AND(E3="",C6&lt;&gt;""),"Attention! Veuillez renseigner la date d'évaluation en haut de la feuille - Collecte des données","")</f>
        <v/>
      </c>
      <c r="G2" s="433"/>
      <c r="H2" s="433"/>
    </row>
    <row r="3" spans="2:19">
      <c r="C3" s="432"/>
      <c r="E3" s="83">
        <f>IF('Collecte des données'!D3="","",'Collecte des données'!D3)</f>
        <v>46038</v>
      </c>
      <c r="F3" s="433"/>
      <c r="G3" s="433"/>
      <c r="H3" s="433"/>
    </row>
    <row r="5" spans="2:19" s="78" customFormat="1" ht="57" customHeight="1">
      <c r="B5" s="84" t="s">
        <v>336</v>
      </c>
      <c r="C5" s="85" t="s">
        <v>337</v>
      </c>
      <c r="D5" s="85" t="s">
        <v>338</v>
      </c>
      <c r="E5" s="86" t="s">
        <v>339</v>
      </c>
      <c r="F5" s="87" t="s">
        <v>11</v>
      </c>
      <c r="G5" s="88" t="s">
        <v>340</v>
      </c>
      <c r="H5" s="85" t="s">
        <v>341</v>
      </c>
      <c r="I5" s="87" t="s">
        <v>342</v>
      </c>
      <c r="J5" s="99" t="s">
        <v>343</v>
      </c>
      <c r="K5" s="87" t="s">
        <v>344</v>
      </c>
      <c r="L5" s="87" t="s">
        <v>345</v>
      </c>
      <c r="M5" s="87" t="s">
        <v>346</v>
      </c>
      <c r="N5" s="2"/>
      <c r="O5" s="82" t="s">
        <v>347</v>
      </c>
      <c r="P5" s="82" t="s">
        <v>348</v>
      </c>
      <c r="Q5" s="82" t="s">
        <v>348</v>
      </c>
      <c r="R5" s="78" t="s">
        <v>349</v>
      </c>
      <c r="S5" s="78" t="s">
        <v>13</v>
      </c>
    </row>
    <row r="6" spans="2:19">
      <c r="B6" s="89">
        <v>1</v>
      </c>
      <c r="C6" s="90" t="s">
        <v>453</v>
      </c>
      <c r="D6" s="91" t="s">
        <v>109</v>
      </c>
      <c r="E6" s="92">
        <v>43876</v>
      </c>
      <c r="F6" s="43">
        <v>96</v>
      </c>
      <c r="G6" s="93">
        <v>8000000</v>
      </c>
      <c r="H6" s="94">
        <f>IFERROR(CRG!P2,0)</f>
        <v>83333.333333333328</v>
      </c>
      <c r="I6" s="94">
        <f>IF(J6="","",IFERROR((CRG!P2*Q6),0))</f>
        <v>5916666.666666666</v>
      </c>
      <c r="J6" s="100">
        <f>IF(E6="","",EDATE(E6,F6))</f>
        <v>46798</v>
      </c>
      <c r="K6" s="94">
        <f>IF(L6="",(IF(G6="","",ROUNDDOWN((G6-I6),0))),L6)</f>
        <v>8000000</v>
      </c>
      <c r="L6" s="101">
        <v>8000000</v>
      </c>
      <c r="M6" s="102"/>
      <c r="O6" s="45">
        <f>DATEDIF(E6,$E$3,"m")</f>
        <v>71</v>
      </c>
      <c r="P6" s="45" t="str">
        <f>IF(O6&gt;F6,"Amorti","En_cours")</f>
        <v>En_cours</v>
      </c>
      <c r="Q6" s="2">
        <f>IF(P6="En_cours",O6,F6)</f>
        <v>71</v>
      </c>
      <c r="R6" s="45">
        <f>F6-O6</f>
        <v>25</v>
      </c>
      <c r="S6" s="2" t="str">
        <f>IF(R6&gt;=1,"OUI","NON")</f>
        <v>OUI</v>
      </c>
    </row>
    <row r="7" spans="2:19">
      <c r="B7" s="89">
        <v>2</v>
      </c>
      <c r="C7" s="95" t="s">
        <v>454</v>
      </c>
      <c r="D7" s="91" t="s">
        <v>109</v>
      </c>
      <c r="E7" s="92">
        <v>43876</v>
      </c>
      <c r="F7" s="43">
        <v>96</v>
      </c>
      <c r="G7" s="93">
        <v>6000000</v>
      </c>
      <c r="H7" s="94">
        <f>IFERROR(CRG!P3,0)</f>
        <v>62500</v>
      </c>
      <c r="I7" s="94">
        <f>IF(J7="","",IFERROR((CRG!P3*Q7),0))</f>
        <v>4437500</v>
      </c>
      <c r="J7" s="100">
        <f t="shared" ref="J7:J70" si="0">IF(E7="","",EDATE(E7,F7))</f>
        <v>46798</v>
      </c>
      <c r="K7" s="94">
        <f t="shared" ref="K7:K70" si="1">IF(L7="",(IF(G7="","",ROUNDDOWN((G7-I7),0))),L7)</f>
        <v>6000000</v>
      </c>
      <c r="L7" s="101">
        <v>6000000</v>
      </c>
      <c r="M7" s="102"/>
      <c r="O7" s="45">
        <f t="shared" ref="O7:O70" si="2">DATEDIF(E7,$E$3,"m")</f>
        <v>71</v>
      </c>
      <c r="P7" s="45" t="str">
        <f t="shared" ref="P7:P70" si="3">IF(O7&gt;F7,"Amorti","En_cours")</f>
        <v>En_cours</v>
      </c>
      <c r="Q7" s="2">
        <f t="shared" ref="Q7:Q70" si="4">IF(P7="En_cours",O7,F7)</f>
        <v>71</v>
      </c>
      <c r="R7" s="45">
        <f t="shared" ref="R7:R70" si="5">F7-O7</f>
        <v>25</v>
      </c>
      <c r="S7" s="2" t="str">
        <f t="shared" ref="S7:S70" si="6">IF(R7&gt;=1,"OUI","NON")</f>
        <v>OUI</v>
      </c>
    </row>
    <row r="8" spans="2:19">
      <c r="B8" s="89">
        <v>3</v>
      </c>
      <c r="C8" s="95" t="s">
        <v>455</v>
      </c>
      <c r="D8" s="91" t="s">
        <v>109</v>
      </c>
      <c r="E8" s="92">
        <v>43876</v>
      </c>
      <c r="F8" s="253">
        <v>96</v>
      </c>
      <c r="G8" s="98">
        <v>3000000</v>
      </c>
      <c r="H8" s="94">
        <f>IFERROR(CRG!P4,0)</f>
        <v>31250</v>
      </c>
      <c r="I8" s="94">
        <f>IF(J8="","",IFERROR((CRG!P4*Q8),0))</f>
        <v>2218750</v>
      </c>
      <c r="J8" s="100">
        <f t="shared" si="0"/>
        <v>46798</v>
      </c>
      <c r="K8" s="94">
        <f t="shared" si="1"/>
        <v>3000000</v>
      </c>
      <c r="L8" s="101">
        <v>3000000</v>
      </c>
      <c r="M8" s="102"/>
      <c r="O8" s="45">
        <f t="shared" si="2"/>
        <v>71</v>
      </c>
      <c r="P8" s="45" t="str">
        <f t="shared" si="3"/>
        <v>En_cours</v>
      </c>
      <c r="Q8" s="2">
        <f t="shared" si="4"/>
        <v>71</v>
      </c>
      <c r="R8" s="45">
        <f t="shared" si="5"/>
        <v>25</v>
      </c>
      <c r="S8" s="2" t="str">
        <f t="shared" si="6"/>
        <v>OUI</v>
      </c>
    </row>
    <row r="9" spans="2:19">
      <c r="B9" s="89">
        <v>4</v>
      </c>
      <c r="C9" s="95" t="s">
        <v>457</v>
      </c>
      <c r="D9" s="91" t="s">
        <v>109</v>
      </c>
      <c r="E9" s="92">
        <v>43876</v>
      </c>
      <c r="F9" s="253">
        <v>96</v>
      </c>
      <c r="G9" s="98">
        <v>2000000</v>
      </c>
      <c r="H9" s="94">
        <f>IFERROR(CRG!P5,0)</f>
        <v>20833.333333333332</v>
      </c>
      <c r="I9" s="94">
        <f>IF(J9="","",IFERROR((CRG!P5*Q9),0))</f>
        <v>1479166.6666666665</v>
      </c>
      <c r="J9" s="100">
        <f t="shared" si="0"/>
        <v>46798</v>
      </c>
      <c r="K9" s="94">
        <f t="shared" si="1"/>
        <v>2000000</v>
      </c>
      <c r="L9" s="101">
        <v>2000000</v>
      </c>
      <c r="M9" s="102"/>
      <c r="O9" s="45">
        <f t="shared" si="2"/>
        <v>71</v>
      </c>
      <c r="P9" s="45" t="str">
        <f t="shared" si="3"/>
        <v>En_cours</v>
      </c>
      <c r="Q9" s="2">
        <f t="shared" si="4"/>
        <v>71</v>
      </c>
      <c r="R9" s="45">
        <f t="shared" si="5"/>
        <v>25</v>
      </c>
      <c r="S9" s="2" t="str">
        <f t="shared" si="6"/>
        <v>OUI</v>
      </c>
    </row>
    <row r="10" spans="2:19">
      <c r="B10" s="89">
        <v>5</v>
      </c>
      <c r="C10" s="95" t="s">
        <v>456</v>
      </c>
      <c r="D10" s="91" t="s">
        <v>109</v>
      </c>
      <c r="E10" s="96">
        <v>45383</v>
      </c>
      <c r="F10" s="97">
        <v>96</v>
      </c>
      <c r="G10" s="98">
        <v>2500000</v>
      </c>
      <c r="H10" s="94">
        <f>IFERROR(CRG!P6,0)</f>
        <v>26041.666666666668</v>
      </c>
      <c r="I10" s="94">
        <f>IF(J10="","",IFERROR((CRG!P6*Q10),0))</f>
        <v>546875</v>
      </c>
      <c r="J10" s="100">
        <f t="shared" si="0"/>
        <v>48305</v>
      </c>
      <c r="K10" s="94">
        <f t="shared" si="1"/>
        <v>2500000</v>
      </c>
      <c r="L10" s="101">
        <v>2500000</v>
      </c>
      <c r="M10" s="102"/>
      <c r="O10" s="45">
        <f t="shared" si="2"/>
        <v>21</v>
      </c>
      <c r="P10" s="45" t="str">
        <f t="shared" si="3"/>
        <v>En_cours</v>
      </c>
      <c r="Q10" s="2">
        <f t="shared" si="4"/>
        <v>21</v>
      </c>
      <c r="R10" s="45">
        <f t="shared" si="5"/>
        <v>75</v>
      </c>
      <c r="S10" s="2" t="str">
        <f t="shared" si="6"/>
        <v>OUI</v>
      </c>
    </row>
    <row r="11" spans="2:19">
      <c r="B11" s="89">
        <v>6</v>
      </c>
      <c r="C11" s="95" t="s">
        <v>458</v>
      </c>
      <c r="D11" s="91" t="s">
        <v>102</v>
      </c>
      <c r="E11" s="96">
        <v>45384</v>
      </c>
      <c r="F11" s="97">
        <v>96</v>
      </c>
      <c r="G11" s="98">
        <v>2500000</v>
      </c>
      <c r="H11" s="94">
        <f>IFERROR(CRG!P7,0)</f>
        <v>26041.666666666668</v>
      </c>
      <c r="I11" s="94">
        <f>IF(J11="","",IFERROR((CRG!P7*Q11),0))</f>
        <v>546875</v>
      </c>
      <c r="J11" s="100">
        <f t="shared" si="0"/>
        <v>48306</v>
      </c>
      <c r="K11" s="94">
        <f t="shared" si="1"/>
        <v>2500000</v>
      </c>
      <c r="L11" s="101">
        <v>2500000</v>
      </c>
      <c r="M11" s="102"/>
      <c r="O11" s="45">
        <f t="shared" si="2"/>
        <v>21</v>
      </c>
      <c r="P11" s="45" t="str">
        <f t="shared" si="3"/>
        <v>En_cours</v>
      </c>
      <c r="Q11" s="2">
        <f t="shared" si="4"/>
        <v>21</v>
      </c>
      <c r="R11" s="45">
        <f t="shared" si="5"/>
        <v>75</v>
      </c>
      <c r="S11" s="2" t="str">
        <f t="shared" si="6"/>
        <v>OUI</v>
      </c>
    </row>
    <row r="12" spans="2:19">
      <c r="B12" s="89">
        <v>7</v>
      </c>
      <c r="C12" s="95" t="s">
        <v>459</v>
      </c>
      <c r="D12" s="91" t="s">
        <v>118</v>
      </c>
      <c r="E12" s="96">
        <v>44451</v>
      </c>
      <c r="F12" s="97">
        <v>96</v>
      </c>
      <c r="G12" s="98">
        <v>35000000</v>
      </c>
      <c r="H12" s="94">
        <f>IFERROR(CRG!P8,0)</f>
        <v>364583.33333333331</v>
      </c>
      <c r="I12" s="94">
        <f>IF(J12="","",IFERROR((CRG!P8*Q12),0))</f>
        <v>18958333.333333332</v>
      </c>
      <c r="J12" s="100">
        <f t="shared" si="0"/>
        <v>47373</v>
      </c>
      <c r="K12" s="94">
        <f t="shared" si="1"/>
        <v>20000000</v>
      </c>
      <c r="L12" s="101">
        <v>20000000</v>
      </c>
      <c r="M12" s="102"/>
      <c r="O12" s="45">
        <f t="shared" si="2"/>
        <v>52</v>
      </c>
      <c r="P12" s="45" t="str">
        <f t="shared" si="3"/>
        <v>En_cours</v>
      </c>
      <c r="Q12" s="2">
        <f t="shared" si="4"/>
        <v>52</v>
      </c>
      <c r="R12" s="45">
        <f t="shared" si="5"/>
        <v>44</v>
      </c>
      <c r="S12" s="2" t="str">
        <f t="shared" si="6"/>
        <v>OUI</v>
      </c>
    </row>
    <row r="13" spans="2:19">
      <c r="B13" s="89">
        <v>8</v>
      </c>
      <c r="C13" s="95"/>
      <c r="D13" s="91"/>
      <c r="E13" s="96"/>
      <c r="F13" s="97"/>
      <c r="G13" s="98"/>
      <c r="H13" s="94">
        <f>IFERROR(CRG!P9,0)</f>
        <v>0</v>
      </c>
      <c r="I13" s="94" t="str">
        <f>IF(J13="","",IFERROR((CRG!P9*Q13),0))</f>
        <v/>
      </c>
      <c r="J13" s="100" t="str">
        <f t="shared" si="0"/>
        <v/>
      </c>
      <c r="K13" s="94" t="str">
        <f t="shared" si="1"/>
        <v/>
      </c>
      <c r="L13" s="101"/>
      <c r="M13" s="102"/>
      <c r="O13" s="45">
        <f t="shared" si="2"/>
        <v>1512</v>
      </c>
      <c r="P13" s="45" t="str">
        <f t="shared" si="3"/>
        <v>Amorti</v>
      </c>
      <c r="Q13" s="2">
        <f t="shared" si="4"/>
        <v>0</v>
      </c>
      <c r="R13" s="45">
        <f t="shared" si="5"/>
        <v>-1512</v>
      </c>
      <c r="S13" s="2" t="str">
        <f t="shared" si="6"/>
        <v>NON</v>
      </c>
    </row>
    <row r="14" spans="2:19">
      <c r="B14" s="89">
        <v>9</v>
      </c>
      <c r="C14" s="90"/>
      <c r="D14" s="91"/>
      <c r="E14" s="92"/>
      <c r="F14" s="43"/>
      <c r="G14" s="93"/>
      <c r="H14" s="94">
        <f>IFERROR(CRG!P10,0)</f>
        <v>0</v>
      </c>
      <c r="I14" s="94" t="str">
        <f>IF(J14="","",IFERROR((CRG!P10*Q14),0))</f>
        <v/>
      </c>
      <c r="J14" s="100" t="str">
        <f t="shared" si="0"/>
        <v/>
      </c>
      <c r="K14" s="94" t="str">
        <f t="shared" si="1"/>
        <v/>
      </c>
      <c r="L14" s="101"/>
      <c r="M14" s="102"/>
      <c r="O14" s="45">
        <f t="shared" si="2"/>
        <v>1512</v>
      </c>
      <c r="P14" s="45" t="str">
        <f t="shared" si="3"/>
        <v>Amorti</v>
      </c>
      <c r="Q14" s="2">
        <f t="shared" si="4"/>
        <v>0</v>
      </c>
      <c r="R14" s="45">
        <f t="shared" si="5"/>
        <v>-1512</v>
      </c>
      <c r="S14" s="2" t="str">
        <f t="shared" si="6"/>
        <v>NON</v>
      </c>
    </row>
    <row r="15" spans="2:19">
      <c r="B15" s="89">
        <v>10</v>
      </c>
      <c r="C15" s="90"/>
      <c r="D15" s="91"/>
      <c r="E15" s="92"/>
      <c r="F15" s="43"/>
      <c r="G15" s="93"/>
      <c r="H15" s="94">
        <f>IFERROR(CRG!P11,0)</f>
        <v>0</v>
      </c>
      <c r="I15" s="94" t="str">
        <f>IF(J15="","",IFERROR((CRG!P11*Q15),0))</f>
        <v/>
      </c>
      <c r="J15" s="100" t="str">
        <f t="shared" si="0"/>
        <v/>
      </c>
      <c r="K15" s="94" t="str">
        <f t="shared" si="1"/>
        <v/>
      </c>
      <c r="L15" s="101"/>
      <c r="M15" s="102"/>
      <c r="O15" s="45">
        <f t="shared" si="2"/>
        <v>1512</v>
      </c>
      <c r="P15" s="45" t="str">
        <f t="shared" si="3"/>
        <v>Amorti</v>
      </c>
      <c r="Q15" s="2">
        <f t="shared" si="4"/>
        <v>0</v>
      </c>
      <c r="R15" s="45">
        <f t="shared" si="5"/>
        <v>-1512</v>
      </c>
      <c r="S15" s="2" t="str">
        <f t="shared" si="6"/>
        <v>NON</v>
      </c>
    </row>
    <row r="16" spans="2:19">
      <c r="B16" s="89">
        <v>11</v>
      </c>
      <c r="C16" s="90"/>
      <c r="D16" s="91"/>
      <c r="E16" s="92"/>
      <c r="F16" s="43"/>
      <c r="G16" s="93"/>
      <c r="H16" s="94">
        <f>IFERROR(CRG!P12,0)</f>
        <v>0</v>
      </c>
      <c r="I16" s="94" t="str">
        <f>IF(J16="","",IFERROR((CRG!P12*Q16),0))</f>
        <v/>
      </c>
      <c r="J16" s="100" t="str">
        <f t="shared" si="0"/>
        <v/>
      </c>
      <c r="K16" s="94" t="str">
        <f t="shared" si="1"/>
        <v/>
      </c>
      <c r="L16" s="101"/>
      <c r="M16" s="102"/>
      <c r="O16" s="45">
        <f t="shared" si="2"/>
        <v>1512</v>
      </c>
      <c r="P16" s="45" t="str">
        <f t="shared" si="3"/>
        <v>Amorti</v>
      </c>
      <c r="Q16" s="2">
        <f t="shared" si="4"/>
        <v>0</v>
      </c>
      <c r="R16" s="45">
        <f t="shared" si="5"/>
        <v>-1512</v>
      </c>
      <c r="S16" s="2" t="str">
        <f t="shared" si="6"/>
        <v>NON</v>
      </c>
    </row>
    <row r="17" spans="2:19">
      <c r="B17" s="89">
        <v>12</v>
      </c>
      <c r="C17" s="90"/>
      <c r="D17" s="91"/>
      <c r="E17" s="92"/>
      <c r="F17" s="43"/>
      <c r="G17" s="93"/>
      <c r="H17" s="94">
        <f>IFERROR(CRG!P13,0)</f>
        <v>0</v>
      </c>
      <c r="I17" s="94" t="str">
        <f>IF(J17="","",IFERROR((CRG!P13*Q17),0))</f>
        <v/>
      </c>
      <c r="J17" s="100" t="str">
        <f t="shared" si="0"/>
        <v/>
      </c>
      <c r="K17" s="94" t="str">
        <f t="shared" si="1"/>
        <v/>
      </c>
      <c r="L17" s="101"/>
      <c r="M17" s="102"/>
      <c r="O17" s="45">
        <f t="shared" si="2"/>
        <v>1512</v>
      </c>
      <c r="P17" s="45" t="str">
        <f t="shared" si="3"/>
        <v>Amorti</v>
      </c>
      <c r="Q17" s="2">
        <f t="shared" si="4"/>
        <v>0</v>
      </c>
      <c r="R17" s="45">
        <f t="shared" si="5"/>
        <v>-1512</v>
      </c>
      <c r="S17" s="2" t="str">
        <f t="shared" si="6"/>
        <v>NON</v>
      </c>
    </row>
    <row r="18" spans="2:19">
      <c r="B18" s="89">
        <v>13</v>
      </c>
      <c r="C18" s="90"/>
      <c r="D18" s="91"/>
      <c r="E18" s="92"/>
      <c r="F18" s="43"/>
      <c r="G18" s="93"/>
      <c r="H18" s="94">
        <f>IFERROR(CRG!P14,0)</f>
        <v>0</v>
      </c>
      <c r="I18" s="94" t="str">
        <f>IF(J18="","",IFERROR((CRG!P14*Q18),0))</f>
        <v/>
      </c>
      <c r="J18" s="100" t="str">
        <f t="shared" si="0"/>
        <v/>
      </c>
      <c r="K18" s="94" t="str">
        <f t="shared" si="1"/>
        <v/>
      </c>
      <c r="L18" s="101"/>
      <c r="M18" s="102"/>
      <c r="O18" s="45">
        <f t="shared" si="2"/>
        <v>1512</v>
      </c>
      <c r="P18" s="45" t="str">
        <f t="shared" si="3"/>
        <v>Amorti</v>
      </c>
      <c r="Q18" s="2">
        <f t="shared" si="4"/>
        <v>0</v>
      </c>
      <c r="R18" s="45">
        <f t="shared" si="5"/>
        <v>-1512</v>
      </c>
      <c r="S18" s="2" t="str">
        <f t="shared" si="6"/>
        <v>NON</v>
      </c>
    </row>
    <row r="19" spans="2:19">
      <c r="B19" s="89">
        <v>14</v>
      </c>
      <c r="C19" s="90"/>
      <c r="D19" s="91"/>
      <c r="E19" s="92"/>
      <c r="F19" s="43"/>
      <c r="G19" s="93"/>
      <c r="H19" s="94">
        <f>IFERROR(CRG!P15,0)</f>
        <v>0</v>
      </c>
      <c r="I19" s="94" t="str">
        <f>IF(J19="","",IFERROR((CRG!P15*Q19),0))</f>
        <v/>
      </c>
      <c r="J19" s="100" t="str">
        <f t="shared" si="0"/>
        <v/>
      </c>
      <c r="K19" s="94" t="str">
        <f t="shared" si="1"/>
        <v/>
      </c>
      <c r="L19" s="101"/>
      <c r="M19" s="102"/>
      <c r="O19" s="45">
        <f t="shared" si="2"/>
        <v>1512</v>
      </c>
      <c r="P19" s="45" t="str">
        <f t="shared" si="3"/>
        <v>Amorti</v>
      </c>
      <c r="Q19" s="2">
        <f t="shared" si="4"/>
        <v>0</v>
      </c>
      <c r="R19" s="45">
        <f t="shared" si="5"/>
        <v>-1512</v>
      </c>
      <c r="S19" s="2" t="str">
        <f t="shared" si="6"/>
        <v>NON</v>
      </c>
    </row>
    <row r="20" spans="2:19">
      <c r="B20" s="89">
        <v>15</v>
      </c>
      <c r="C20" s="90"/>
      <c r="D20" s="91"/>
      <c r="E20" s="92"/>
      <c r="F20" s="43"/>
      <c r="G20" s="93"/>
      <c r="H20" s="94">
        <f>IFERROR(CRG!P16,0)</f>
        <v>0</v>
      </c>
      <c r="I20" s="94" t="str">
        <f>IF(J20="","",IFERROR((CRG!P16*Q20),0))</f>
        <v/>
      </c>
      <c r="J20" s="100" t="str">
        <f t="shared" si="0"/>
        <v/>
      </c>
      <c r="K20" s="94" t="str">
        <f t="shared" si="1"/>
        <v/>
      </c>
      <c r="L20" s="101"/>
      <c r="M20" s="102"/>
      <c r="O20" s="45">
        <f t="shared" si="2"/>
        <v>1512</v>
      </c>
      <c r="P20" s="45" t="str">
        <f t="shared" si="3"/>
        <v>Amorti</v>
      </c>
      <c r="Q20" s="2">
        <f t="shared" si="4"/>
        <v>0</v>
      </c>
      <c r="R20" s="45">
        <f t="shared" si="5"/>
        <v>-1512</v>
      </c>
      <c r="S20" s="2" t="str">
        <f t="shared" si="6"/>
        <v>NON</v>
      </c>
    </row>
    <row r="21" spans="2:19">
      <c r="B21" s="89">
        <v>16</v>
      </c>
      <c r="C21" s="90"/>
      <c r="D21" s="91"/>
      <c r="E21" s="92"/>
      <c r="F21" s="43"/>
      <c r="G21" s="93"/>
      <c r="H21" s="94">
        <f>IFERROR(CRG!P17,0)</f>
        <v>0</v>
      </c>
      <c r="I21" s="94" t="str">
        <f>IF(J21="","",IFERROR((CRG!P17*Q21),0))</f>
        <v/>
      </c>
      <c r="J21" s="100" t="str">
        <f t="shared" si="0"/>
        <v/>
      </c>
      <c r="K21" s="94" t="str">
        <f t="shared" si="1"/>
        <v/>
      </c>
      <c r="L21" s="101"/>
      <c r="M21" s="102"/>
      <c r="O21" s="45">
        <f t="shared" si="2"/>
        <v>1512</v>
      </c>
      <c r="P21" s="45" t="str">
        <f t="shared" si="3"/>
        <v>Amorti</v>
      </c>
      <c r="Q21" s="2">
        <f t="shared" si="4"/>
        <v>0</v>
      </c>
      <c r="R21" s="45">
        <f t="shared" si="5"/>
        <v>-1512</v>
      </c>
      <c r="S21" s="2" t="str">
        <f t="shared" si="6"/>
        <v>NON</v>
      </c>
    </row>
    <row r="22" spans="2:19">
      <c r="B22" s="89">
        <v>17</v>
      </c>
      <c r="C22" s="90"/>
      <c r="D22" s="91"/>
      <c r="E22" s="92"/>
      <c r="F22" s="43"/>
      <c r="G22" s="93"/>
      <c r="H22" s="94">
        <f>IFERROR(CRG!P18,0)</f>
        <v>0</v>
      </c>
      <c r="I22" s="94" t="str">
        <f>IF(J22="","",IFERROR((CRG!P18*Q22),0))</f>
        <v/>
      </c>
      <c r="J22" s="100" t="str">
        <f t="shared" si="0"/>
        <v/>
      </c>
      <c r="K22" s="94" t="str">
        <f t="shared" si="1"/>
        <v/>
      </c>
      <c r="L22" s="101"/>
      <c r="M22" s="102"/>
      <c r="O22" s="45">
        <f t="shared" si="2"/>
        <v>1512</v>
      </c>
      <c r="P22" s="45" t="str">
        <f t="shared" si="3"/>
        <v>Amorti</v>
      </c>
      <c r="Q22" s="2">
        <f t="shared" si="4"/>
        <v>0</v>
      </c>
      <c r="R22" s="45">
        <f t="shared" si="5"/>
        <v>-1512</v>
      </c>
      <c r="S22" s="2" t="str">
        <f t="shared" si="6"/>
        <v>NON</v>
      </c>
    </row>
    <row r="23" spans="2:19">
      <c r="B23" s="89">
        <v>18</v>
      </c>
      <c r="C23" s="90"/>
      <c r="D23" s="91"/>
      <c r="E23" s="92"/>
      <c r="F23" s="43"/>
      <c r="G23" s="93"/>
      <c r="H23" s="94">
        <f>IFERROR(CRG!P19,0)</f>
        <v>0</v>
      </c>
      <c r="I23" s="94" t="str">
        <f>IF(J23="","",IFERROR((CRG!P19*Q23),0))</f>
        <v/>
      </c>
      <c r="J23" s="100" t="str">
        <f t="shared" si="0"/>
        <v/>
      </c>
      <c r="K23" s="94" t="str">
        <f t="shared" si="1"/>
        <v/>
      </c>
      <c r="L23" s="101"/>
      <c r="M23" s="102"/>
      <c r="O23" s="45">
        <f t="shared" si="2"/>
        <v>1512</v>
      </c>
      <c r="P23" s="45" t="str">
        <f t="shared" si="3"/>
        <v>Amorti</v>
      </c>
      <c r="Q23" s="2">
        <f t="shared" si="4"/>
        <v>0</v>
      </c>
      <c r="R23" s="45">
        <f t="shared" si="5"/>
        <v>-1512</v>
      </c>
      <c r="S23" s="2" t="str">
        <f t="shared" si="6"/>
        <v>NON</v>
      </c>
    </row>
    <row r="24" spans="2:19">
      <c r="B24" s="89">
        <v>19</v>
      </c>
      <c r="C24" s="90"/>
      <c r="D24" s="91"/>
      <c r="E24" s="92"/>
      <c r="F24" s="43"/>
      <c r="G24" s="93"/>
      <c r="H24" s="94">
        <f>IFERROR(CRG!P20,0)</f>
        <v>0</v>
      </c>
      <c r="I24" s="94" t="str">
        <f>IF(J24="","",IFERROR((CRG!P20*Q24),0))</f>
        <v/>
      </c>
      <c r="J24" s="100" t="str">
        <f t="shared" si="0"/>
        <v/>
      </c>
      <c r="K24" s="94" t="str">
        <f t="shared" si="1"/>
        <v/>
      </c>
      <c r="L24" s="101"/>
      <c r="M24" s="102"/>
      <c r="O24" s="45">
        <f t="shared" si="2"/>
        <v>1512</v>
      </c>
      <c r="P24" s="45" t="str">
        <f t="shared" si="3"/>
        <v>Amorti</v>
      </c>
      <c r="Q24" s="2">
        <f t="shared" si="4"/>
        <v>0</v>
      </c>
      <c r="R24" s="45">
        <f t="shared" si="5"/>
        <v>-1512</v>
      </c>
      <c r="S24" s="2" t="str">
        <f t="shared" si="6"/>
        <v>NON</v>
      </c>
    </row>
    <row r="25" spans="2:19">
      <c r="B25" s="89">
        <v>20</v>
      </c>
      <c r="C25" s="90"/>
      <c r="D25" s="91"/>
      <c r="E25" s="92"/>
      <c r="F25" s="43"/>
      <c r="G25" s="93"/>
      <c r="H25" s="94">
        <f>IFERROR(CRG!P21,0)</f>
        <v>0</v>
      </c>
      <c r="I25" s="94" t="str">
        <f>IF(J25="","",IFERROR((CRG!P21*Q25),0))</f>
        <v/>
      </c>
      <c r="J25" s="100" t="str">
        <f t="shared" si="0"/>
        <v/>
      </c>
      <c r="K25" s="94" t="str">
        <f t="shared" si="1"/>
        <v/>
      </c>
      <c r="L25" s="101"/>
      <c r="M25" s="102"/>
      <c r="O25" s="45">
        <f t="shared" si="2"/>
        <v>1512</v>
      </c>
      <c r="P25" s="45" t="str">
        <f t="shared" si="3"/>
        <v>Amorti</v>
      </c>
      <c r="Q25" s="2">
        <f t="shared" si="4"/>
        <v>0</v>
      </c>
      <c r="R25" s="45">
        <f t="shared" si="5"/>
        <v>-1512</v>
      </c>
      <c r="S25" s="2" t="str">
        <f t="shared" si="6"/>
        <v>NON</v>
      </c>
    </row>
    <row r="26" spans="2:19">
      <c r="B26" s="89">
        <v>21</v>
      </c>
      <c r="C26" s="90"/>
      <c r="D26" s="91"/>
      <c r="E26" s="92"/>
      <c r="F26" s="43"/>
      <c r="G26" s="93"/>
      <c r="H26" s="94">
        <f>IFERROR(CRG!P22,0)</f>
        <v>0</v>
      </c>
      <c r="I26" s="94" t="str">
        <f>IF(J26="","",IFERROR((CRG!P22*Q26),0))</f>
        <v/>
      </c>
      <c r="J26" s="100" t="str">
        <f t="shared" si="0"/>
        <v/>
      </c>
      <c r="K26" s="94" t="str">
        <f t="shared" si="1"/>
        <v/>
      </c>
      <c r="L26" s="101"/>
      <c r="M26" s="102"/>
      <c r="O26" s="45">
        <f t="shared" si="2"/>
        <v>1512</v>
      </c>
      <c r="P26" s="45" t="str">
        <f t="shared" si="3"/>
        <v>Amorti</v>
      </c>
      <c r="Q26" s="2">
        <f t="shared" si="4"/>
        <v>0</v>
      </c>
      <c r="R26" s="45">
        <f t="shared" si="5"/>
        <v>-1512</v>
      </c>
      <c r="S26" s="2" t="str">
        <f t="shared" si="6"/>
        <v>NON</v>
      </c>
    </row>
    <row r="27" spans="2:19">
      <c r="B27" s="89">
        <v>22</v>
      </c>
      <c r="C27" s="90"/>
      <c r="D27" s="91"/>
      <c r="E27" s="92"/>
      <c r="F27" s="43"/>
      <c r="G27" s="93"/>
      <c r="H27" s="94">
        <f>IFERROR(CRG!P23,0)</f>
        <v>0</v>
      </c>
      <c r="I27" s="94" t="str">
        <f>IF(J27="","",IFERROR((CRG!P23*Q27),0))</f>
        <v/>
      </c>
      <c r="J27" s="100" t="str">
        <f t="shared" si="0"/>
        <v/>
      </c>
      <c r="K27" s="94" t="str">
        <f t="shared" si="1"/>
        <v/>
      </c>
      <c r="L27" s="101"/>
      <c r="M27" s="102"/>
      <c r="O27" s="45">
        <f t="shared" si="2"/>
        <v>1512</v>
      </c>
      <c r="P27" s="45" t="str">
        <f t="shared" si="3"/>
        <v>Amorti</v>
      </c>
      <c r="Q27" s="2">
        <f t="shared" si="4"/>
        <v>0</v>
      </c>
      <c r="R27" s="45">
        <f t="shared" si="5"/>
        <v>-1512</v>
      </c>
      <c r="S27" s="2" t="str">
        <f t="shared" si="6"/>
        <v>NON</v>
      </c>
    </row>
    <row r="28" spans="2:19">
      <c r="B28" s="89">
        <v>23</v>
      </c>
      <c r="C28" s="90"/>
      <c r="D28" s="91"/>
      <c r="E28" s="92"/>
      <c r="F28" s="43"/>
      <c r="G28" s="93"/>
      <c r="H28" s="94">
        <f>IFERROR(CRG!P24,0)</f>
        <v>0</v>
      </c>
      <c r="I28" s="94" t="str">
        <f>IF(J28="","",IFERROR((CRG!P24*Q28),0))</f>
        <v/>
      </c>
      <c r="J28" s="100" t="str">
        <f t="shared" si="0"/>
        <v/>
      </c>
      <c r="K28" s="94" t="str">
        <f t="shared" si="1"/>
        <v/>
      </c>
      <c r="L28" s="101"/>
      <c r="M28" s="102"/>
      <c r="O28" s="45">
        <f t="shared" si="2"/>
        <v>1512</v>
      </c>
      <c r="P28" s="45" t="str">
        <f t="shared" si="3"/>
        <v>Amorti</v>
      </c>
      <c r="Q28" s="2">
        <f t="shared" si="4"/>
        <v>0</v>
      </c>
      <c r="R28" s="45">
        <f t="shared" si="5"/>
        <v>-1512</v>
      </c>
      <c r="S28" s="2" t="str">
        <f t="shared" si="6"/>
        <v>NON</v>
      </c>
    </row>
    <row r="29" spans="2:19">
      <c r="B29" s="89">
        <v>24</v>
      </c>
      <c r="C29" s="90"/>
      <c r="D29" s="91"/>
      <c r="E29" s="92"/>
      <c r="F29" s="43"/>
      <c r="G29" s="93"/>
      <c r="H29" s="94">
        <f>IFERROR(CRG!P25,0)</f>
        <v>0</v>
      </c>
      <c r="I29" s="94" t="str">
        <f>IF(J29="","",IFERROR((CRG!P25*Q29),0))</f>
        <v/>
      </c>
      <c r="J29" s="100" t="str">
        <f t="shared" si="0"/>
        <v/>
      </c>
      <c r="K29" s="94" t="str">
        <f t="shared" si="1"/>
        <v/>
      </c>
      <c r="L29" s="101"/>
      <c r="M29" s="102"/>
      <c r="O29" s="45">
        <f t="shared" si="2"/>
        <v>1512</v>
      </c>
      <c r="P29" s="45" t="str">
        <f t="shared" si="3"/>
        <v>Amorti</v>
      </c>
      <c r="Q29" s="2">
        <f t="shared" si="4"/>
        <v>0</v>
      </c>
      <c r="R29" s="45">
        <f t="shared" si="5"/>
        <v>-1512</v>
      </c>
      <c r="S29" s="2" t="str">
        <f t="shared" si="6"/>
        <v>NON</v>
      </c>
    </row>
    <row r="30" spans="2:19">
      <c r="B30" s="89">
        <v>25</v>
      </c>
      <c r="C30" s="90"/>
      <c r="D30" s="91"/>
      <c r="E30" s="92"/>
      <c r="F30" s="43"/>
      <c r="G30" s="93"/>
      <c r="H30" s="94">
        <f>IFERROR(CRG!P26,0)</f>
        <v>0</v>
      </c>
      <c r="I30" s="94" t="str">
        <f>IF(J30="","",IFERROR((CRG!P26*Q30),0))</f>
        <v/>
      </c>
      <c r="J30" s="100" t="str">
        <f t="shared" si="0"/>
        <v/>
      </c>
      <c r="K30" s="94" t="str">
        <f t="shared" si="1"/>
        <v/>
      </c>
      <c r="L30" s="101"/>
      <c r="M30" s="102"/>
      <c r="O30" s="45">
        <f t="shared" si="2"/>
        <v>1512</v>
      </c>
      <c r="P30" s="45" t="str">
        <f t="shared" si="3"/>
        <v>Amorti</v>
      </c>
      <c r="Q30" s="2">
        <f t="shared" si="4"/>
        <v>0</v>
      </c>
      <c r="R30" s="45">
        <f t="shared" si="5"/>
        <v>-1512</v>
      </c>
      <c r="S30" s="2" t="str">
        <f t="shared" si="6"/>
        <v>NON</v>
      </c>
    </row>
    <row r="31" spans="2:19">
      <c r="B31" s="89">
        <v>26</v>
      </c>
      <c r="C31" s="90"/>
      <c r="D31" s="91"/>
      <c r="E31" s="92"/>
      <c r="F31" s="43"/>
      <c r="G31" s="93"/>
      <c r="H31" s="94">
        <f>IFERROR(CRG!P27,0)</f>
        <v>0</v>
      </c>
      <c r="I31" s="94" t="str">
        <f>IF(J31="","",IFERROR((CRG!P27*Q31),0))</f>
        <v/>
      </c>
      <c r="J31" s="100" t="str">
        <f t="shared" si="0"/>
        <v/>
      </c>
      <c r="K31" s="94" t="str">
        <f t="shared" si="1"/>
        <v/>
      </c>
      <c r="L31" s="101"/>
      <c r="M31" s="102"/>
      <c r="O31" s="45">
        <f t="shared" si="2"/>
        <v>1512</v>
      </c>
      <c r="P31" s="45" t="str">
        <f t="shared" si="3"/>
        <v>Amorti</v>
      </c>
      <c r="Q31" s="2">
        <f t="shared" si="4"/>
        <v>0</v>
      </c>
      <c r="R31" s="45">
        <f t="shared" si="5"/>
        <v>-1512</v>
      </c>
      <c r="S31" s="2" t="str">
        <f t="shared" si="6"/>
        <v>NON</v>
      </c>
    </row>
    <row r="32" spans="2:19">
      <c r="B32" s="89">
        <v>27</v>
      </c>
      <c r="C32" s="90"/>
      <c r="D32" s="91"/>
      <c r="E32" s="92"/>
      <c r="F32" s="43"/>
      <c r="G32" s="93"/>
      <c r="H32" s="94">
        <f>IFERROR(CRG!P28,0)</f>
        <v>0</v>
      </c>
      <c r="I32" s="94" t="str">
        <f>IF(J32="","",IFERROR((CRG!P28*Q32),0))</f>
        <v/>
      </c>
      <c r="J32" s="100" t="str">
        <f t="shared" si="0"/>
        <v/>
      </c>
      <c r="K32" s="94" t="str">
        <f t="shared" si="1"/>
        <v/>
      </c>
      <c r="L32" s="101"/>
      <c r="M32" s="102"/>
      <c r="O32" s="45">
        <f t="shared" si="2"/>
        <v>1512</v>
      </c>
      <c r="P32" s="45" t="str">
        <f t="shared" si="3"/>
        <v>Amorti</v>
      </c>
      <c r="Q32" s="2">
        <f t="shared" si="4"/>
        <v>0</v>
      </c>
      <c r="R32" s="45">
        <f t="shared" si="5"/>
        <v>-1512</v>
      </c>
      <c r="S32" s="2" t="str">
        <f t="shared" si="6"/>
        <v>NON</v>
      </c>
    </row>
    <row r="33" spans="2:19">
      <c r="B33" s="89">
        <v>28</v>
      </c>
      <c r="C33" s="90"/>
      <c r="D33" s="91"/>
      <c r="E33" s="92"/>
      <c r="F33" s="43"/>
      <c r="G33" s="93"/>
      <c r="H33" s="94">
        <f>IFERROR(CRG!P29,0)</f>
        <v>0</v>
      </c>
      <c r="I33" s="94" t="str">
        <f>IF(J33="","",IFERROR((CRG!P29*Q33),0))</f>
        <v/>
      </c>
      <c r="J33" s="100" t="str">
        <f t="shared" si="0"/>
        <v/>
      </c>
      <c r="K33" s="94" t="str">
        <f t="shared" si="1"/>
        <v/>
      </c>
      <c r="L33" s="101"/>
      <c r="M33" s="102"/>
      <c r="O33" s="45">
        <f t="shared" si="2"/>
        <v>1512</v>
      </c>
      <c r="P33" s="45" t="str">
        <f t="shared" si="3"/>
        <v>Amorti</v>
      </c>
      <c r="Q33" s="2">
        <f t="shared" si="4"/>
        <v>0</v>
      </c>
      <c r="R33" s="45">
        <f t="shared" si="5"/>
        <v>-1512</v>
      </c>
      <c r="S33" s="2" t="str">
        <f t="shared" si="6"/>
        <v>NON</v>
      </c>
    </row>
    <row r="34" spans="2:19">
      <c r="B34" s="89">
        <v>29</v>
      </c>
      <c r="C34" s="90"/>
      <c r="D34" s="91"/>
      <c r="E34" s="92"/>
      <c r="F34" s="43"/>
      <c r="G34" s="93"/>
      <c r="H34" s="94">
        <f>IFERROR(CRG!P30,0)</f>
        <v>0</v>
      </c>
      <c r="I34" s="94" t="str">
        <f>IF(J34="","",IFERROR((CRG!P30*Q34),0))</f>
        <v/>
      </c>
      <c r="J34" s="100" t="str">
        <f t="shared" si="0"/>
        <v/>
      </c>
      <c r="K34" s="94" t="str">
        <f t="shared" si="1"/>
        <v/>
      </c>
      <c r="L34" s="101"/>
      <c r="M34" s="102"/>
      <c r="O34" s="45">
        <f t="shared" si="2"/>
        <v>1512</v>
      </c>
      <c r="P34" s="45" t="str">
        <f t="shared" si="3"/>
        <v>Amorti</v>
      </c>
      <c r="Q34" s="2">
        <f t="shared" si="4"/>
        <v>0</v>
      </c>
      <c r="R34" s="45">
        <f t="shared" si="5"/>
        <v>-1512</v>
      </c>
      <c r="S34" s="2" t="str">
        <f t="shared" si="6"/>
        <v>NON</v>
      </c>
    </row>
    <row r="35" spans="2:19">
      <c r="B35" s="89">
        <v>30</v>
      </c>
      <c r="C35" s="90"/>
      <c r="D35" s="91"/>
      <c r="E35" s="92"/>
      <c r="F35" s="43"/>
      <c r="G35" s="93"/>
      <c r="H35" s="94">
        <f>IFERROR(CRG!P31,0)</f>
        <v>0</v>
      </c>
      <c r="I35" s="94" t="str">
        <f>IF(J35="","",IFERROR((CRG!P31*Q35),0))</f>
        <v/>
      </c>
      <c r="J35" s="100" t="str">
        <f t="shared" si="0"/>
        <v/>
      </c>
      <c r="K35" s="94" t="str">
        <f t="shared" si="1"/>
        <v/>
      </c>
      <c r="L35" s="101"/>
      <c r="M35" s="102"/>
      <c r="O35" s="45">
        <f t="shared" si="2"/>
        <v>1512</v>
      </c>
      <c r="P35" s="45" t="str">
        <f t="shared" si="3"/>
        <v>Amorti</v>
      </c>
      <c r="Q35" s="2">
        <f t="shared" si="4"/>
        <v>0</v>
      </c>
      <c r="R35" s="45">
        <f t="shared" si="5"/>
        <v>-1512</v>
      </c>
      <c r="S35" s="2" t="str">
        <f t="shared" si="6"/>
        <v>NON</v>
      </c>
    </row>
    <row r="36" spans="2:19">
      <c r="B36" s="89">
        <v>31</v>
      </c>
      <c r="C36" s="90"/>
      <c r="D36" s="91"/>
      <c r="E36" s="92"/>
      <c r="F36" s="43"/>
      <c r="G36" s="93"/>
      <c r="H36" s="94">
        <f>IFERROR(CRG!P32,0)</f>
        <v>0</v>
      </c>
      <c r="I36" s="94" t="str">
        <f>IF(J36="","",IFERROR((CRG!P32*Q36),0))</f>
        <v/>
      </c>
      <c r="J36" s="100" t="str">
        <f t="shared" si="0"/>
        <v/>
      </c>
      <c r="K36" s="94" t="str">
        <f t="shared" si="1"/>
        <v/>
      </c>
      <c r="L36" s="101"/>
      <c r="M36" s="102"/>
      <c r="O36" s="45">
        <f t="shared" si="2"/>
        <v>1512</v>
      </c>
      <c r="P36" s="45" t="str">
        <f t="shared" si="3"/>
        <v>Amorti</v>
      </c>
      <c r="Q36" s="2">
        <f t="shared" si="4"/>
        <v>0</v>
      </c>
      <c r="R36" s="45">
        <f t="shared" si="5"/>
        <v>-1512</v>
      </c>
      <c r="S36" s="2" t="str">
        <f t="shared" si="6"/>
        <v>NON</v>
      </c>
    </row>
    <row r="37" spans="2:19">
      <c r="B37" s="89">
        <v>32</v>
      </c>
      <c r="C37" s="90"/>
      <c r="D37" s="91"/>
      <c r="E37" s="92"/>
      <c r="F37" s="43"/>
      <c r="G37" s="93"/>
      <c r="H37" s="94">
        <f>IFERROR(CRG!P33,0)</f>
        <v>0</v>
      </c>
      <c r="I37" s="94" t="str">
        <f>IF(J37="","",IFERROR((CRG!P33*Q37),0))</f>
        <v/>
      </c>
      <c r="J37" s="100" t="str">
        <f t="shared" si="0"/>
        <v/>
      </c>
      <c r="K37" s="94" t="str">
        <f t="shared" si="1"/>
        <v/>
      </c>
      <c r="L37" s="101"/>
      <c r="M37" s="102"/>
      <c r="O37" s="45">
        <f t="shared" si="2"/>
        <v>1512</v>
      </c>
      <c r="P37" s="45" t="str">
        <f t="shared" si="3"/>
        <v>Amorti</v>
      </c>
      <c r="Q37" s="2">
        <f t="shared" si="4"/>
        <v>0</v>
      </c>
      <c r="R37" s="45">
        <f t="shared" si="5"/>
        <v>-1512</v>
      </c>
      <c r="S37" s="2" t="str">
        <f t="shared" si="6"/>
        <v>NON</v>
      </c>
    </row>
    <row r="38" spans="2:19">
      <c r="B38" s="89">
        <v>33</v>
      </c>
      <c r="C38" s="90"/>
      <c r="D38" s="91"/>
      <c r="E38" s="92"/>
      <c r="F38" s="43"/>
      <c r="G38" s="93"/>
      <c r="H38" s="94">
        <f>IFERROR(CRG!P34,0)</f>
        <v>0</v>
      </c>
      <c r="I38" s="94" t="str">
        <f>IF(J38="","",IFERROR((CRG!P34*Q38),0))</f>
        <v/>
      </c>
      <c r="J38" s="100" t="str">
        <f t="shared" si="0"/>
        <v/>
      </c>
      <c r="K38" s="94" t="str">
        <f t="shared" si="1"/>
        <v/>
      </c>
      <c r="L38" s="101"/>
      <c r="M38" s="102"/>
      <c r="O38" s="45">
        <f t="shared" si="2"/>
        <v>1512</v>
      </c>
      <c r="P38" s="45" t="str">
        <f t="shared" si="3"/>
        <v>Amorti</v>
      </c>
      <c r="Q38" s="2">
        <f t="shared" si="4"/>
        <v>0</v>
      </c>
      <c r="R38" s="45">
        <f t="shared" si="5"/>
        <v>-1512</v>
      </c>
      <c r="S38" s="2" t="str">
        <f t="shared" si="6"/>
        <v>NON</v>
      </c>
    </row>
    <row r="39" spans="2:19">
      <c r="B39" s="89">
        <v>34</v>
      </c>
      <c r="C39" s="90"/>
      <c r="D39" s="91"/>
      <c r="E39" s="92"/>
      <c r="F39" s="43"/>
      <c r="G39" s="93"/>
      <c r="H39" s="94">
        <f>IFERROR(CRG!P35,0)</f>
        <v>0</v>
      </c>
      <c r="I39" s="94" t="str">
        <f>IF(J39="","",IFERROR((CRG!P35*Q39),0))</f>
        <v/>
      </c>
      <c r="J39" s="100" t="str">
        <f t="shared" si="0"/>
        <v/>
      </c>
      <c r="K39" s="94" t="str">
        <f t="shared" si="1"/>
        <v/>
      </c>
      <c r="L39" s="101"/>
      <c r="M39" s="102"/>
      <c r="O39" s="45">
        <f t="shared" si="2"/>
        <v>1512</v>
      </c>
      <c r="P39" s="45" t="str">
        <f t="shared" si="3"/>
        <v>Amorti</v>
      </c>
      <c r="Q39" s="2">
        <f t="shared" si="4"/>
        <v>0</v>
      </c>
      <c r="R39" s="45">
        <f t="shared" si="5"/>
        <v>-1512</v>
      </c>
      <c r="S39" s="2" t="str">
        <f t="shared" si="6"/>
        <v>NON</v>
      </c>
    </row>
    <row r="40" spans="2:19">
      <c r="B40" s="89">
        <v>35</v>
      </c>
      <c r="C40" s="90"/>
      <c r="D40" s="91"/>
      <c r="E40" s="92"/>
      <c r="F40" s="43"/>
      <c r="G40" s="93"/>
      <c r="H40" s="94">
        <f>IFERROR(CRG!P36,0)</f>
        <v>0</v>
      </c>
      <c r="I40" s="94" t="str">
        <f>IF(J40="","",IFERROR((CRG!P36*Q40),0))</f>
        <v/>
      </c>
      <c r="J40" s="100" t="str">
        <f t="shared" si="0"/>
        <v/>
      </c>
      <c r="K40" s="94" t="str">
        <f t="shared" si="1"/>
        <v/>
      </c>
      <c r="L40" s="101"/>
      <c r="M40" s="102"/>
      <c r="O40" s="45">
        <f t="shared" si="2"/>
        <v>1512</v>
      </c>
      <c r="P40" s="45" t="str">
        <f t="shared" si="3"/>
        <v>Amorti</v>
      </c>
      <c r="Q40" s="2">
        <f t="shared" si="4"/>
        <v>0</v>
      </c>
      <c r="R40" s="45">
        <f t="shared" si="5"/>
        <v>-1512</v>
      </c>
      <c r="S40" s="2" t="str">
        <f t="shared" si="6"/>
        <v>NON</v>
      </c>
    </row>
    <row r="41" spans="2:19">
      <c r="B41" s="89">
        <v>36</v>
      </c>
      <c r="C41" s="90"/>
      <c r="D41" s="91"/>
      <c r="E41" s="92"/>
      <c r="F41" s="43"/>
      <c r="G41" s="93"/>
      <c r="H41" s="94">
        <f>IFERROR(CRG!P37,0)</f>
        <v>0</v>
      </c>
      <c r="I41" s="94" t="str">
        <f>IF(J41="","",IFERROR((CRG!P37*Q41),0))</f>
        <v/>
      </c>
      <c r="J41" s="100" t="str">
        <f t="shared" si="0"/>
        <v/>
      </c>
      <c r="K41" s="94" t="str">
        <f t="shared" si="1"/>
        <v/>
      </c>
      <c r="L41" s="101"/>
      <c r="M41" s="102"/>
      <c r="O41" s="45">
        <f t="shared" si="2"/>
        <v>1512</v>
      </c>
      <c r="P41" s="45" t="str">
        <f t="shared" si="3"/>
        <v>Amorti</v>
      </c>
      <c r="Q41" s="2">
        <f t="shared" si="4"/>
        <v>0</v>
      </c>
      <c r="R41" s="45">
        <f t="shared" si="5"/>
        <v>-1512</v>
      </c>
      <c r="S41" s="2" t="str">
        <f t="shared" si="6"/>
        <v>NON</v>
      </c>
    </row>
    <row r="42" spans="2:19">
      <c r="B42" s="89">
        <v>37</v>
      </c>
      <c r="C42" s="90"/>
      <c r="D42" s="91"/>
      <c r="E42" s="92"/>
      <c r="F42" s="43"/>
      <c r="G42" s="93"/>
      <c r="H42" s="94">
        <f>IFERROR(CRG!P38,0)</f>
        <v>0</v>
      </c>
      <c r="I42" s="94" t="str">
        <f>IF(J42="","",IFERROR((CRG!P38*Q42),0))</f>
        <v/>
      </c>
      <c r="J42" s="100" t="str">
        <f t="shared" si="0"/>
        <v/>
      </c>
      <c r="K42" s="94" t="str">
        <f t="shared" si="1"/>
        <v/>
      </c>
      <c r="L42" s="101"/>
      <c r="M42" s="102"/>
      <c r="O42" s="45">
        <f t="shared" si="2"/>
        <v>1512</v>
      </c>
      <c r="P42" s="45" t="str">
        <f t="shared" si="3"/>
        <v>Amorti</v>
      </c>
      <c r="Q42" s="2">
        <f t="shared" si="4"/>
        <v>0</v>
      </c>
      <c r="R42" s="45">
        <f t="shared" si="5"/>
        <v>-1512</v>
      </c>
      <c r="S42" s="2" t="str">
        <f t="shared" si="6"/>
        <v>NON</v>
      </c>
    </row>
    <row r="43" spans="2:19">
      <c r="B43" s="89">
        <v>38</v>
      </c>
      <c r="C43" s="90"/>
      <c r="D43" s="91"/>
      <c r="E43" s="92"/>
      <c r="F43" s="43"/>
      <c r="G43" s="93"/>
      <c r="H43" s="94">
        <f>IFERROR(CRG!P39,0)</f>
        <v>0</v>
      </c>
      <c r="I43" s="94" t="str">
        <f>IF(J43="","",IFERROR((CRG!P39*Q43),0))</f>
        <v/>
      </c>
      <c r="J43" s="100" t="str">
        <f t="shared" si="0"/>
        <v/>
      </c>
      <c r="K43" s="94" t="str">
        <f t="shared" si="1"/>
        <v/>
      </c>
      <c r="L43" s="101"/>
      <c r="M43" s="102"/>
      <c r="O43" s="45">
        <f t="shared" si="2"/>
        <v>1512</v>
      </c>
      <c r="P43" s="45" t="str">
        <f t="shared" si="3"/>
        <v>Amorti</v>
      </c>
      <c r="Q43" s="2">
        <f t="shared" si="4"/>
        <v>0</v>
      </c>
      <c r="R43" s="45">
        <f t="shared" si="5"/>
        <v>-1512</v>
      </c>
      <c r="S43" s="2" t="str">
        <f t="shared" si="6"/>
        <v>NON</v>
      </c>
    </row>
    <row r="44" spans="2:19">
      <c r="B44" s="89">
        <v>39</v>
      </c>
      <c r="C44" s="90"/>
      <c r="D44" s="91"/>
      <c r="E44" s="92"/>
      <c r="F44" s="43"/>
      <c r="G44" s="93"/>
      <c r="H44" s="94">
        <f>IFERROR(CRG!P40,0)</f>
        <v>0</v>
      </c>
      <c r="I44" s="94" t="str">
        <f>IF(J44="","",IFERROR((CRG!P40*Q44),0))</f>
        <v/>
      </c>
      <c r="J44" s="100" t="str">
        <f t="shared" si="0"/>
        <v/>
      </c>
      <c r="K44" s="94" t="str">
        <f t="shared" si="1"/>
        <v/>
      </c>
      <c r="L44" s="101"/>
      <c r="M44" s="102"/>
      <c r="O44" s="45">
        <f t="shared" si="2"/>
        <v>1512</v>
      </c>
      <c r="P44" s="45" t="str">
        <f t="shared" si="3"/>
        <v>Amorti</v>
      </c>
      <c r="Q44" s="2">
        <f t="shared" si="4"/>
        <v>0</v>
      </c>
      <c r="R44" s="45">
        <f t="shared" si="5"/>
        <v>-1512</v>
      </c>
      <c r="S44" s="2" t="str">
        <f t="shared" si="6"/>
        <v>NON</v>
      </c>
    </row>
    <row r="45" spans="2:19">
      <c r="B45" s="89">
        <v>40</v>
      </c>
      <c r="C45" s="90"/>
      <c r="D45" s="91"/>
      <c r="E45" s="92"/>
      <c r="F45" s="43"/>
      <c r="G45" s="93"/>
      <c r="H45" s="94">
        <f>IFERROR(CRG!P41,0)</f>
        <v>0</v>
      </c>
      <c r="I45" s="94" t="str">
        <f>IF(J45="","",IFERROR((CRG!P41*Q45),0))</f>
        <v/>
      </c>
      <c r="J45" s="100" t="str">
        <f t="shared" si="0"/>
        <v/>
      </c>
      <c r="K45" s="94" t="str">
        <f t="shared" si="1"/>
        <v/>
      </c>
      <c r="L45" s="101"/>
      <c r="M45" s="102"/>
      <c r="O45" s="45">
        <f t="shared" si="2"/>
        <v>1512</v>
      </c>
      <c r="P45" s="45" t="str">
        <f t="shared" si="3"/>
        <v>Amorti</v>
      </c>
      <c r="Q45" s="2">
        <f t="shared" si="4"/>
        <v>0</v>
      </c>
      <c r="R45" s="45">
        <f t="shared" si="5"/>
        <v>-1512</v>
      </c>
      <c r="S45" s="2" t="str">
        <f t="shared" si="6"/>
        <v>NON</v>
      </c>
    </row>
    <row r="46" spans="2:19">
      <c r="B46" s="89">
        <v>41</v>
      </c>
      <c r="C46" s="90"/>
      <c r="D46" s="91"/>
      <c r="E46" s="92"/>
      <c r="F46" s="43"/>
      <c r="G46" s="93"/>
      <c r="H46" s="94">
        <f>IFERROR(CRG!P42,0)</f>
        <v>0</v>
      </c>
      <c r="I46" s="94" t="str">
        <f>IF(J46="","",IFERROR((CRG!P42*Q46),0))</f>
        <v/>
      </c>
      <c r="J46" s="100" t="str">
        <f t="shared" si="0"/>
        <v/>
      </c>
      <c r="K46" s="94" t="str">
        <f t="shared" si="1"/>
        <v/>
      </c>
      <c r="L46" s="101"/>
      <c r="M46" s="102"/>
      <c r="O46" s="45">
        <f t="shared" si="2"/>
        <v>1512</v>
      </c>
      <c r="P46" s="45" t="str">
        <f t="shared" si="3"/>
        <v>Amorti</v>
      </c>
      <c r="Q46" s="2">
        <f t="shared" si="4"/>
        <v>0</v>
      </c>
      <c r="R46" s="45">
        <f t="shared" si="5"/>
        <v>-1512</v>
      </c>
      <c r="S46" s="2" t="str">
        <f t="shared" si="6"/>
        <v>NON</v>
      </c>
    </row>
    <row r="47" spans="2:19">
      <c r="B47" s="89">
        <v>42</v>
      </c>
      <c r="C47" s="90"/>
      <c r="D47" s="91"/>
      <c r="E47" s="92"/>
      <c r="F47" s="43"/>
      <c r="G47" s="93"/>
      <c r="H47" s="94">
        <f>IFERROR(CRG!P43,0)</f>
        <v>0</v>
      </c>
      <c r="I47" s="94" t="str">
        <f>IF(J47="","",IFERROR((CRG!P43*Q47),0))</f>
        <v/>
      </c>
      <c r="J47" s="100" t="str">
        <f t="shared" si="0"/>
        <v/>
      </c>
      <c r="K47" s="94" t="str">
        <f t="shared" si="1"/>
        <v/>
      </c>
      <c r="L47" s="101"/>
      <c r="M47" s="102"/>
      <c r="O47" s="45">
        <f t="shared" si="2"/>
        <v>1512</v>
      </c>
      <c r="P47" s="45" t="str">
        <f t="shared" si="3"/>
        <v>Amorti</v>
      </c>
      <c r="Q47" s="2">
        <f t="shared" si="4"/>
        <v>0</v>
      </c>
      <c r="R47" s="45">
        <f t="shared" si="5"/>
        <v>-1512</v>
      </c>
      <c r="S47" s="2" t="str">
        <f t="shared" si="6"/>
        <v>NON</v>
      </c>
    </row>
    <row r="48" spans="2:19">
      <c r="B48" s="89">
        <v>43</v>
      </c>
      <c r="C48" s="90"/>
      <c r="D48" s="91"/>
      <c r="E48" s="92"/>
      <c r="F48" s="43"/>
      <c r="G48" s="93"/>
      <c r="H48" s="94">
        <f>IFERROR(CRG!P44,0)</f>
        <v>0</v>
      </c>
      <c r="I48" s="94" t="str">
        <f>IF(J48="","",IFERROR((CRG!P44*Q48),0))</f>
        <v/>
      </c>
      <c r="J48" s="100" t="str">
        <f t="shared" si="0"/>
        <v/>
      </c>
      <c r="K48" s="94" t="str">
        <f t="shared" si="1"/>
        <v/>
      </c>
      <c r="L48" s="101"/>
      <c r="M48" s="102"/>
      <c r="O48" s="45">
        <f t="shared" si="2"/>
        <v>1512</v>
      </c>
      <c r="P48" s="45" t="str">
        <f t="shared" si="3"/>
        <v>Amorti</v>
      </c>
      <c r="Q48" s="2">
        <f t="shared" si="4"/>
        <v>0</v>
      </c>
      <c r="R48" s="45">
        <f t="shared" si="5"/>
        <v>-1512</v>
      </c>
      <c r="S48" s="2" t="str">
        <f t="shared" si="6"/>
        <v>NON</v>
      </c>
    </row>
    <row r="49" spans="2:19">
      <c r="B49" s="89">
        <v>44</v>
      </c>
      <c r="C49" s="90"/>
      <c r="D49" s="91"/>
      <c r="E49" s="92"/>
      <c r="F49" s="43"/>
      <c r="G49" s="93"/>
      <c r="H49" s="94">
        <f>IFERROR(CRG!P45,0)</f>
        <v>0</v>
      </c>
      <c r="I49" s="94" t="str">
        <f>IF(J49="","",IFERROR((CRG!P45*Q49),0))</f>
        <v/>
      </c>
      <c r="J49" s="100" t="str">
        <f t="shared" si="0"/>
        <v/>
      </c>
      <c r="K49" s="94" t="str">
        <f t="shared" si="1"/>
        <v/>
      </c>
      <c r="L49" s="101"/>
      <c r="M49" s="102"/>
      <c r="O49" s="45">
        <f t="shared" si="2"/>
        <v>1512</v>
      </c>
      <c r="P49" s="45" t="str">
        <f t="shared" si="3"/>
        <v>Amorti</v>
      </c>
      <c r="Q49" s="2">
        <f t="shared" si="4"/>
        <v>0</v>
      </c>
      <c r="R49" s="45">
        <f t="shared" si="5"/>
        <v>-1512</v>
      </c>
      <c r="S49" s="2" t="str">
        <f t="shared" si="6"/>
        <v>NON</v>
      </c>
    </row>
    <row r="50" spans="2:19">
      <c r="B50" s="89">
        <v>45</v>
      </c>
      <c r="C50" s="90"/>
      <c r="D50" s="91"/>
      <c r="E50" s="92"/>
      <c r="F50" s="43"/>
      <c r="G50" s="93"/>
      <c r="H50" s="94">
        <f>IFERROR(CRG!P46,0)</f>
        <v>0</v>
      </c>
      <c r="I50" s="94" t="str">
        <f>IF(J50="","",IFERROR((CRG!P46*Q50),0))</f>
        <v/>
      </c>
      <c r="J50" s="100" t="str">
        <f t="shared" si="0"/>
        <v/>
      </c>
      <c r="K50" s="94" t="str">
        <f t="shared" si="1"/>
        <v/>
      </c>
      <c r="L50" s="101"/>
      <c r="M50" s="102"/>
      <c r="O50" s="45">
        <f t="shared" si="2"/>
        <v>1512</v>
      </c>
      <c r="P50" s="45" t="str">
        <f t="shared" si="3"/>
        <v>Amorti</v>
      </c>
      <c r="Q50" s="2">
        <f t="shared" si="4"/>
        <v>0</v>
      </c>
      <c r="R50" s="45">
        <f t="shared" si="5"/>
        <v>-1512</v>
      </c>
      <c r="S50" s="2" t="str">
        <f t="shared" si="6"/>
        <v>NON</v>
      </c>
    </row>
    <row r="51" spans="2:19">
      <c r="B51" s="89">
        <v>46</v>
      </c>
      <c r="C51" s="90"/>
      <c r="D51" s="91"/>
      <c r="E51" s="92"/>
      <c r="F51" s="43"/>
      <c r="G51" s="93"/>
      <c r="H51" s="94">
        <f>IFERROR(CRG!P47,0)</f>
        <v>0</v>
      </c>
      <c r="I51" s="94" t="str">
        <f>IF(J51="","",IFERROR((CRG!P47*Q51),0))</f>
        <v/>
      </c>
      <c r="J51" s="100" t="str">
        <f t="shared" si="0"/>
        <v/>
      </c>
      <c r="K51" s="94" t="str">
        <f t="shared" si="1"/>
        <v/>
      </c>
      <c r="L51" s="101"/>
      <c r="M51" s="102"/>
      <c r="O51" s="45">
        <f t="shared" si="2"/>
        <v>1512</v>
      </c>
      <c r="P51" s="45" t="str">
        <f t="shared" si="3"/>
        <v>Amorti</v>
      </c>
      <c r="Q51" s="2">
        <f t="shared" si="4"/>
        <v>0</v>
      </c>
      <c r="R51" s="45">
        <f t="shared" si="5"/>
        <v>-1512</v>
      </c>
      <c r="S51" s="2" t="str">
        <f t="shared" si="6"/>
        <v>NON</v>
      </c>
    </row>
    <row r="52" spans="2:19">
      <c r="B52" s="89">
        <v>47</v>
      </c>
      <c r="C52" s="90"/>
      <c r="D52" s="91"/>
      <c r="E52" s="92"/>
      <c r="F52" s="43"/>
      <c r="G52" s="93"/>
      <c r="H52" s="94">
        <f>IFERROR(CRG!P48,0)</f>
        <v>0</v>
      </c>
      <c r="I52" s="94" t="str">
        <f>IF(J52="","",IFERROR((CRG!P48*Q52),0))</f>
        <v/>
      </c>
      <c r="J52" s="100" t="str">
        <f t="shared" si="0"/>
        <v/>
      </c>
      <c r="K52" s="94" t="str">
        <f t="shared" si="1"/>
        <v/>
      </c>
      <c r="L52" s="101"/>
      <c r="M52" s="102"/>
      <c r="O52" s="45">
        <f t="shared" si="2"/>
        <v>1512</v>
      </c>
      <c r="P52" s="45" t="str">
        <f t="shared" si="3"/>
        <v>Amorti</v>
      </c>
      <c r="Q52" s="2">
        <f t="shared" si="4"/>
        <v>0</v>
      </c>
      <c r="R52" s="45">
        <f t="shared" si="5"/>
        <v>-1512</v>
      </c>
      <c r="S52" s="2" t="str">
        <f t="shared" si="6"/>
        <v>NON</v>
      </c>
    </row>
    <row r="53" spans="2:19">
      <c r="B53" s="89">
        <v>48</v>
      </c>
      <c r="C53" s="90"/>
      <c r="D53" s="91"/>
      <c r="E53" s="92"/>
      <c r="F53" s="43"/>
      <c r="G53" s="93"/>
      <c r="H53" s="94">
        <f>IFERROR(CRG!P51,0)</f>
        <v>0</v>
      </c>
      <c r="I53" s="94" t="str">
        <f>IF(J53="","",IFERROR((CRG!P51*Q53),0))</f>
        <v/>
      </c>
      <c r="J53" s="100" t="str">
        <f t="shared" si="0"/>
        <v/>
      </c>
      <c r="K53" s="94" t="str">
        <f t="shared" si="1"/>
        <v/>
      </c>
      <c r="L53" s="101"/>
      <c r="M53" s="102"/>
      <c r="O53" s="45">
        <f t="shared" si="2"/>
        <v>1512</v>
      </c>
      <c r="P53" s="45" t="str">
        <f t="shared" si="3"/>
        <v>Amorti</v>
      </c>
      <c r="Q53" s="2">
        <f t="shared" si="4"/>
        <v>0</v>
      </c>
      <c r="R53" s="45">
        <f t="shared" si="5"/>
        <v>-1512</v>
      </c>
      <c r="S53" s="2" t="str">
        <f t="shared" si="6"/>
        <v>NON</v>
      </c>
    </row>
    <row r="54" spans="2:19">
      <c r="B54" s="89">
        <v>49</v>
      </c>
      <c r="C54" s="90"/>
      <c r="D54" s="91"/>
      <c r="E54" s="92"/>
      <c r="F54" s="43"/>
      <c r="G54" s="93"/>
      <c r="H54" s="94">
        <f>IFERROR(CRG!P52,0)</f>
        <v>0</v>
      </c>
      <c r="I54" s="94" t="str">
        <f>IF(J54="","",IFERROR((CRG!P52*Q54),0))</f>
        <v/>
      </c>
      <c r="J54" s="100" t="str">
        <f t="shared" si="0"/>
        <v/>
      </c>
      <c r="K54" s="94" t="str">
        <f t="shared" si="1"/>
        <v/>
      </c>
      <c r="L54" s="101"/>
      <c r="M54" s="102"/>
      <c r="O54" s="45">
        <f t="shared" si="2"/>
        <v>1512</v>
      </c>
      <c r="P54" s="45" t="str">
        <f t="shared" si="3"/>
        <v>Amorti</v>
      </c>
      <c r="Q54" s="2">
        <f t="shared" si="4"/>
        <v>0</v>
      </c>
      <c r="R54" s="45">
        <f t="shared" si="5"/>
        <v>-1512</v>
      </c>
      <c r="S54" s="2" t="str">
        <f t="shared" si="6"/>
        <v>NON</v>
      </c>
    </row>
    <row r="55" spans="2:19">
      <c r="B55" s="89">
        <v>50</v>
      </c>
      <c r="C55" s="90"/>
      <c r="D55" s="91"/>
      <c r="E55" s="92"/>
      <c r="F55" s="43"/>
      <c r="G55" s="93"/>
      <c r="H55" s="94">
        <f>IFERROR(CRG!P53,0)</f>
        <v>0</v>
      </c>
      <c r="I55" s="94" t="str">
        <f>IF(J55="","",IFERROR((CRG!P53*Q55),0))</f>
        <v/>
      </c>
      <c r="J55" s="100" t="str">
        <f t="shared" si="0"/>
        <v/>
      </c>
      <c r="K55" s="94" t="str">
        <f t="shared" si="1"/>
        <v/>
      </c>
      <c r="L55" s="101"/>
      <c r="M55" s="102"/>
      <c r="O55" s="45">
        <f t="shared" si="2"/>
        <v>1512</v>
      </c>
      <c r="P55" s="45" t="str">
        <f t="shared" si="3"/>
        <v>Amorti</v>
      </c>
      <c r="Q55" s="2">
        <f t="shared" si="4"/>
        <v>0</v>
      </c>
      <c r="R55" s="45">
        <f t="shared" si="5"/>
        <v>-1512</v>
      </c>
      <c r="S55" s="2" t="str">
        <f t="shared" si="6"/>
        <v>NON</v>
      </c>
    </row>
    <row r="56" spans="2:19">
      <c r="B56" s="89">
        <v>51</v>
      </c>
      <c r="C56" s="90"/>
      <c r="D56" s="91"/>
      <c r="E56" s="92"/>
      <c r="F56" s="43"/>
      <c r="G56" s="93"/>
      <c r="H56" s="94">
        <f>IFERROR(CRG!P54,0)</f>
        <v>0</v>
      </c>
      <c r="I56" s="94" t="str">
        <f>IF(J56="","",IFERROR((CRG!P54*Q56),0))</f>
        <v/>
      </c>
      <c r="J56" s="100" t="str">
        <f t="shared" si="0"/>
        <v/>
      </c>
      <c r="K56" s="94" t="str">
        <f t="shared" si="1"/>
        <v/>
      </c>
      <c r="L56" s="101"/>
      <c r="M56" s="102"/>
      <c r="O56" s="45">
        <f t="shared" si="2"/>
        <v>1512</v>
      </c>
      <c r="P56" s="45" t="str">
        <f t="shared" si="3"/>
        <v>Amorti</v>
      </c>
      <c r="Q56" s="2">
        <f t="shared" si="4"/>
        <v>0</v>
      </c>
      <c r="R56" s="45">
        <f t="shared" si="5"/>
        <v>-1512</v>
      </c>
      <c r="S56" s="2" t="str">
        <f t="shared" si="6"/>
        <v>NON</v>
      </c>
    </row>
    <row r="57" spans="2:19">
      <c r="B57" s="89">
        <v>52</v>
      </c>
      <c r="C57" s="90"/>
      <c r="D57" s="91"/>
      <c r="E57" s="92"/>
      <c r="F57" s="43"/>
      <c r="G57" s="93"/>
      <c r="H57" s="94">
        <f>IFERROR(CRG!P55,0)</f>
        <v>0</v>
      </c>
      <c r="I57" s="94" t="str">
        <f>IF(J57="","",IFERROR((CRG!P55*Q57),0))</f>
        <v/>
      </c>
      <c r="J57" s="100" t="str">
        <f t="shared" si="0"/>
        <v/>
      </c>
      <c r="K57" s="94" t="str">
        <f t="shared" si="1"/>
        <v/>
      </c>
      <c r="L57" s="101"/>
      <c r="M57" s="102"/>
      <c r="O57" s="45">
        <f t="shared" si="2"/>
        <v>1512</v>
      </c>
      <c r="P57" s="45" t="str">
        <f t="shared" si="3"/>
        <v>Amorti</v>
      </c>
      <c r="Q57" s="2">
        <f t="shared" si="4"/>
        <v>0</v>
      </c>
      <c r="R57" s="45">
        <f t="shared" si="5"/>
        <v>-1512</v>
      </c>
      <c r="S57" s="2" t="str">
        <f t="shared" si="6"/>
        <v>NON</v>
      </c>
    </row>
    <row r="58" spans="2:19">
      <c r="B58" s="89">
        <v>53</v>
      </c>
      <c r="C58" s="90"/>
      <c r="D58" s="91"/>
      <c r="E58" s="92"/>
      <c r="F58" s="43"/>
      <c r="G58" s="93"/>
      <c r="H58" s="94">
        <f>IFERROR(CRG!P56,0)</f>
        <v>0</v>
      </c>
      <c r="I58" s="94" t="str">
        <f>IF(J58="","",IFERROR((CRG!P56*Q58),0))</f>
        <v/>
      </c>
      <c r="J58" s="100" t="str">
        <f t="shared" si="0"/>
        <v/>
      </c>
      <c r="K58" s="94" t="str">
        <f t="shared" si="1"/>
        <v/>
      </c>
      <c r="L58" s="101"/>
      <c r="M58" s="102"/>
      <c r="O58" s="45">
        <f t="shared" si="2"/>
        <v>1512</v>
      </c>
      <c r="P58" s="45" t="str">
        <f t="shared" si="3"/>
        <v>Amorti</v>
      </c>
      <c r="Q58" s="2">
        <f t="shared" si="4"/>
        <v>0</v>
      </c>
      <c r="R58" s="45">
        <f t="shared" si="5"/>
        <v>-1512</v>
      </c>
      <c r="S58" s="2" t="str">
        <f t="shared" si="6"/>
        <v>NON</v>
      </c>
    </row>
    <row r="59" spans="2:19">
      <c r="B59" s="89">
        <v>54</v>
      </c>
      <c r="C59" s="90"/>
      <c r="D59" s="91"/>
      <c r="E59" s="92"/>
      <c r="F59" s="43"/>
      <c r="G59" s="93"/>
      <c r="H59" s="94">
        <f>IFERROR(CRG!P57,0)</f>
        <v>0</v>
      </c>
      <c r="I59" s="94" t="str">
        <f>IF(J59="","",IFERROR((CRG!P57*Q59),0))</f>
        <v/>
      </c>
      <c r="J59" s="100" t="str">
        <f t="shared" si="0"/>
        <v/>
      </c>
      <c r="K59" s="94" t="str">
        <f t="shared" si="1"/>
        <v/>
      </c>
      <c r="L59" s="101"/>
      <c r="M59" s="102"/>
      <c r="O59" s="45">
        <f t="shared" si="2"/>
        <v>1512</v>
      </c>
      <c r="P59" s="45" t="str">
        <f t="shared" si="3"/>
        <v>Amorti</v>
      </c>
      <c r="Q59" s="2">
        <f t="shared" si="4"/>
        <v>0</v>
      </c>
      <c r="R59" s="45">
        <f t="shared" si="5"/>
        <v>-1512</v>
      </c>
      <c r="S59" s="2" t="str">
        <f t="shared" si="6"/>
        <v>NON</v>
      </c>
    </row>
    <row r="60" spans="2:19">
      <c r="B60" s="89">
        <v>55</v>
      </c>
      <c r="C60" s="90"/>
      <c r="D60" s="91"/>
      <c r="E60" s="92"/>
      <c r="F60" s="43"/>
      <c r="G60" s="93"/>
      <c r="H60" s="94">
        <f>IFERROR(CRG!P58,0)</f>
        <v>0</v>
      </c>
      <c r="I60" s="94" t="str">
        <f>IF(J60="","",IFERROR((CRG!P58*Q60),0))</f>
        <v/>
      </c>
      <c r="J60" s="100" t="str">
        <f t="shared" si="0"/>
        <v/>
      </c>
      <c r="K60" s="94" t="str">
        <f t="shared" si="1"/>
        <v/>
      </c>
      <c r="L60" s="101"/>
      <c r="M60" s="102"/>
      <c r="O60" s="45">
        <f t="shared" si="2"/>
        <v>1512</v>
      </c>
      <c r="P60" s="45" t="str">
        <f t="shared" si="3"/>
        <v>Amorti</v>
      </c>
      <c r="Q60" s="2">
        <f t="shared" si="4"/>
        <v>0</v>
      </c>
      <c r="R60" s="45">
        <f t="shared" si="5"/>
        <v>-1512</v>
      </c>
      <c r="S60" s="2" t="str">
        <f t="shared" si="6"/>
        <v>NON</v>
      </c>
    </row>
    <row r="61" spans="2:19">
      <c r="B61" s="89">
        <v>56</v>
      </c>
      <c r="C61" s="90"/>
      <c r="D61" s="91"/>
      <c r="E61" s="92"/>
      <c r="F61" s="43"/>
      <c r="G61" s="93"/>
      <c r="H61" s="94">
        <f>IFERROR(CRG!P59,0)</f>
        <v>0</v>
      </c>
      <c r="I61" s="94" t="str">
        <f>IF(J61="","",IFERROR((CRG!P59*Q61),0))</f>
        <v/>
      </c>
      <c r="J61" s="100" t="str">
        <f t="shared" si="0"/>
        <v/>
      </c>
      <c r="K61" s="94" t="str">
        <f t="shared" si="1"/>
        <v/>
      </c>
      <c r="L61" s="101"/>
      <c r="M61" s="102"/>
      <c r="O61" s="45">
        <f t="shared" si="2"/>
        <v>1512</v>
      </c>
      <c r="P61" s="45" t="str">
        <f t="shared" si="3"/>
        <v>Amorti</v>
      </c>
      <c r="Q61" s="2">
        <f t="shared" si="4"/>
        <v>0</v>
      </c>
      <c r="R61" s="45">
        <f t="shared" si="5"/>
        <v>-1512</v>
      </c>
      <c r="S61" s="2" t="str">
        <f t="shared" si="6"/>
        <v>NON</v>
      </c>
    </row>
    <row r="62" spans="2:19">
      <c r="B62" s="89">
        <v>57</v>
      </c>
      <c r="C62" s="90"/>
      <c r="D62" s="91"/>
      <c r="E62" s="92"/>
      <c r="F62" s="43"/>
      <c r="G62" s="93"/>
      <c r="H62" s="94">
        <f>IFERROR(CRG!P60,0)</f>
        <v>0</v>
      </c>
      <c r="I62" s="94" t="str">
        <f>IF(J62="","",IFERROR((CRG!P60*Q62),0))</f>
        <v/>
      </c>
      <c r="J62" s="100" t="str">
        <f t="shared" si="0"/>
        <v/>
      </c>
      <c r="K62" s="94" t="str">
        <f t="shared" si="1"/>
        <v/>
      </c>
      <c r="L62" s="101"/>
      <c r="M62" s="102"/>
      <c r="O62" s="45">
        <f t="shared" si="2"/>
        <v>1512</v>
      </c>
      <c r="P62" s="45" t="str">
        <f t="shared" si="3"/>
        <v>Amorti</v>
      </c>
      <c r="Q62" s="2">
        <f t="shared" si="4"/>
        <v>0</v>
      </c>
      <c r="R62" s="45">
        <f t="shared" si="5"/>
        <v>-1512</v>
      </c>
      <c r="S62" s="2" t="str">
        <f t="shared" si="6"/>
        <v>NON</v>
      </c>
    </row>
    <row r="63" spans="2:19">
      <c r="B63" s="89">
        <v>58</v>
      </c>
      <c r="C63" s="90"/>
      <c r="D63" s="91"/>
      <c r="E63" s="92"/>
      <c r="F63" s="43"/>
      <c r="G63" s="93"/>
      <c r="H63" s="94">
        <f>IFERROR(CRG!P61,0)</f>
        <v>0</v>
      </c>
      <c r="I63" s="94" t="str">
        <f>IF(J63="","",IFERROR((CRG!P61*Q63),0))</f>
        <v/>
      </c>
      <c r="J63" s="100" t="str">
        <f t="shared" si="0"/>
        <v/>
      </c>
      <c r="K63" s="94" t="str">
        <f t="shared" si="1"/>
        <v/>
      </c>
      <c r="L63" s="101"/>
      <c r="M63" s="102"/>
      <c r="O63" s="45">
        <f t="shared" si="2"/>
        <v>1512</v>
      </c>
      <c r="P63" s="45" t="str">
        <f t="shared" si="3"/>
        <v>Amorti</v>
      </c>
      <c r="Q63" s="2">
        <f t="shared" si="4"/>
        <v>0</v>
      </c>
      <c r="R63" s="45">
        <f t="shared" si="5"/>
        <v>-1512</v>
      </c>
      <c r="S63" s="2" t="str">
        <f t="shared" si="6"/>
        <v>NON</v>
      </c>
    </row>
    <row r="64" spans="2:19">
      <c r="B64" s="89">
        <v>59</v>
      </c>
      <c r="C64" s="90"/>
      <c r="D64" s="91"/>
      <c r="E64" s="92"/>
      <c r="F64" s="43"/>
      <c r="G64" s="93"/>
      <c r="H64" s="94">
        <f>IFERROR(CRG!P62,0)</f>
        <v>0</v>
      </c>
      <c r="I64" s="94" t="str">
        <f>IF(J64="","",IFERROR((CRG!P62*Q64),0))</f>
        <v/>
      </c>
      <c r="J64" s="100" t="str">
        <f t="shared" si="0"/>
        <v/>
      </c>
      <c r="K64" s="94" t="str">
        <f t="shared" si="1"/>
        <v/>
      </c>
      <c r="L64" s="101"/>
      <c r="M64" s="102"/>
      <c r="O64" s="45">
        <f t="shared" si="2"/>
        <v>1512</v>
      </c>
      <c r="P64" s="45" t="str">
        <f t="shared" si="3"/>
        <v>Amorti</v>
      </c>
      <c r="Q64" s="2">
        <f t="shared" si="4"/>
        <v>0</v>
      </c>
      <c r="R64" s="45">
        <f t="shared" si="5"/>
        <v>-1512</v>
      </c>
      <c r="S64" s="2" t="str">
        <f t="shared" si="6"/>
        <v>NON</v>
      </c>
    </row>
    <row r="65" spans="2:19">
      <c r="B65" s="89">
        <v>60</v>
      </c>
      <c r="C65" s="90"/>
      <c r="D65" s="91"/>
      <c r="E65" s="92"/>
      <c r="F65" s="43"/>
      <c r="G65" s="93"/>
      <c r="H65" s="94">
        <f>IFERROR(CRG!P63,0)</f>
        <v>0</v>
      </c>
      <c r="I65" s="94" t="str">
        <f>IF(J65="","",IFERROR((CRG!P63*Q65),0))</f>
        <v/>
      </c>
      <c r="J65" s="100" t="str">
        <f t="shared" si="0"/>
        <v/>
      </c>
      <c r="K65" s="94" t="str">
        <f t="shared" si="1"/>
        <v/>
      </c>
      <c r="L65" s="101"/>
      <c r="M65" s="102"/>
      <c r="O65" s="45">
        <f t="shared" si="2"/>
        <v>1512</v>
      </c>
      <c r="P65" s="45" t="str">
        <f t="shared" si="3"/>
        <v>Amorti</v>
      </c>
      <c r="Q65" s="2">
        <f t="shared" si="4"/>
        <v>0</v>
      </c>
      <c r="R65" s="45">
        <f t="shared" si="5"/>
        <v>-1512</v>
      </c>
      <c r="S65" s="2" t="str">
        <f t="shared" si="6"/>
        <v>NON</v>
      </c>
    </row>
    <row r="66" spans="2:19">
      <c r="B66" s="89">
        <v>61</v>
      </c>
      <c r="C66" s="90"/>
      <c r="D66" s="91"/>
      <c r="E66" s="92"/>
      <c r="F66" s="43"/>
      <c r="G66" s="93"/>
      <c r="H66" s="94">
        <f>IFERROR(CRG!P64,0)</f>
        <v>0</v>
      </c>
      <c r="I66" s="94" t="str">
        <f>IF(J66="","",IFERROR((CRG!P64*Q66),0))</f>
        <v/>
      </c>
      <c r="J66" s="100" t="str">
        <f t="shared" si="0"/>
        <v/>
      </c>
      <c r="K66" s="94" t="str">
        <f t="shared" si="1"/>
        <v/>
      </c>
      <c r="L66" s="101"/>
      <c r="M66" s="102"/>
      <c r="O66" s="45">
        <f t="shared" si="2"/>
        <v>1512</v>
      </c>
      <c r="P66" s="45" t="str">
        <f t="shared" si="3"/>
        <v>Amorti</v>
      </c>
      <c r="Q66" s="2">
        <f t="shared" si="4"/>
        <v>0</v>
      </c>
      <c r="R66" s="45">
        <f t="shared" si="5"/>
        <v>-1512</v>
      </c>
      <c r="S66" s="2" t="str">
        <f t="shared" si="6"/>
        <v>NON</v>
      </c>
    </row>
    <row r="67" spans="2:19">
      <c r="B67" s="89">
        <v>62</v>
      </c>
      <c r="C67" s="90"/>
      <c r="D67" s="91"/>
      <c r="E67" s="92"/>
      <c r="F67" s="43"/>
      <c r="G67" s="93"/>
      <c r="H67" s="94">
        <f>IFERROR(CRG!P65,0)</f>
        <v>0</v>
      </c>
      <c r="I67" s="94" t="str">
        <f>IF(J67="","",IFERROR((CRG!P65*Q67),0))</f>
        <v/>
      </c>
      <c r="J67" s="100" t="str">
        <f t="shared" si="0"/>
        <v/>
      </c>
      <c r="K67" s="94" t="str">
        <f t="shared" si="1"/>
        <v/>
      </c>
      <c r="L67" s="101"/>
      <c r="M67" s="102"/>
      <c r="O67" s="45">
        <f t="shared" si="2"/>
        <v>1512</v>
      </c>
      <c r="P67" s="45" t="str">
        <f t="shared" si="3"/>
        <v>Amorti</v>
      </c>
      <c r="Q67" s="2">
        <f t="shared" si="4"/>
        <v>0</v>
      </c>
      <c r="R67" s="45">
        <f t="shared" si="5"/>
        <v>-1512</v>
      </c>
      <c r="S67" s="2" t="str">
        <f t="shared" si="6"/>
        <v>NON</v>
      </c>
    </row>
    <row r="68" spans="2:19">
      <c r="B68" s="89">
        <v>63</v>
      </c>
      <c r="C68" s="90"/>
      <c r="D68" s="91"/>
      <c r="E68" s="92"/>
      <c r="F68" s="43"/>
      <c r="G68" s="93"/>
      <c r="H68" s="94">
        <f>IFERROR(CRG!P66,0)</f>
        <v>0</v>
      </c>
      <c r="I68" s="94" t="str">
        <f>IF(J68="","",IFERROR((CRG!P66*Q68),0))</f>
        <v/>
      </c>
      <c r="J68" s="100" t="str">
        <f t="shared" si="0"/>
        <v/>
      </c>
      <c r="K68" s="94" t="str">
        <f t="shared" si="1"/>
        <v/>
      </c>
      <c r="L68" s="101"/>
      <c r="M68" s="102"/>
      <c r="O68" s="45">
        <f t="shared" si="2"/>
        <v>1512</v>
      </c>
      <c r="P68" s="45" t="str">
        <f t="shared" si="3"/>
        <v>Amorti</v>
      </c>
      <c r="Q68" s="2">
        <f t="shared" si="4"/>
        <v>0</v>
      </c>
      <c r="R68" s="45">
        <f t="shared" si="5"/>
        <v>-1512</v>
      </c>
      <c r="S68" s="2" t="str">
        <f t="shared" si="6"/>
        <v>NON</v>
      </c>
    </row>
    <row r="69" spans="2:19">
      <c r="B69" s="89">
        <v>64</v>
      </c>
      <c r="C69" s="90"/>
      <c r="D69" s="91"/>
      <c r="E69" s="92"/>
      <c r="F69" s="43"/>
      <c r="G69" s="93"/>
      <c r="H69" s="94">
        <f>IFERROR(CRG!P67,0)</f>
        <v>0</v>
      </c>
      <c r="I69" s="94" t="str">
        <f>IF(J69="","",IFERROR((CRG!P67*Q69),0))</f>
        <v/>
      </c>
      <c r="J69" s="100" t="str">
        <f t="shared" si="0"/>
        <v/>
      </c>
      <c r="K69" s="94" t="str">
        <f t="shared" si="1"/>
        <v/>
      </c>
      <c r="L69" s="101"/>
      <c r="M69" s="102"/>
      <c r="O69" s="45">
        <f t="shared" si="2"/>
        <v>1512</v>
      </c>
      <c r="P69" s="45" t="str">
        <f t="shared" si="3"/>
        <v>Amorti</v>
      </c>
      <c r="Q69" s="2">
        <f t="shared" si="4"/>
        <v>0</v>
      </c>
      <c r="R69" s="45">
        <f t="shared" si="5"/>
        <v>-1512</v>
      </c>
      <c r="S69" s="2" t="str">
        <f t="shared" si="6"/>
        <v>NON</v>
      </c>
    </row>
    <row r="70" spans="2:19">
      <c r="B70" s="89">
        <v>65</v>
      </c>
      <c r="C70" s="90"/>
      <c r="D70" s="91"/>
      <c r="E70" s="92"/>
      <c r="F70" s="43"/>
      <c r="G70" s="93"/>
      <c r="H70" s="94">
        <f>IFERROR(CRG!P68,0)</f>
        <v>0</v>
      </c>
      <c r="I70" s="94" t="str">
        <f>IF(J70="","",IFERROR((CRG!P68*Q70),0))</f>
        <v/>
      </c>
      <c r="J70" s="100" t="str">
        <f t="shared" si="0"/>
        <v/>
      </c>
      <c r="K70" s="94" t="str">
        <f t="shared" si="1"/>
        <v/>
      </c>
      <c r="L70" s="101"/>
      <c r="M70" s="102"/>
      <c r="O70" s="45">
        <f t="shared" si="2"/>
        <v>1512</v>
      </c>
      <c r="P70" s="45" t="str">
        <f t="shared" si="3"/>
        <v>Amorti</v>
      </c>
      <c r="Q70" s="2">
        <f t="shared" si="4"/>
        <v>0</v>
      </c>
      <c r="R70" s="45">
        <f t="shared" si="5"/>
        <v>-1512</v>
      </c>
      <c r="S70" s="2" t="str">
        <f t="shared" si="6"/>
        <v>NON</v>
      </c>
    </row>
    <row r="71" spans="2:19">
      <c r="B71" s="89">
        <v>66</v>
      </c>
      <c r="C71" s="90"/>
      <c r="D71" s="91"/>
      <c r="E71" s="92"/>
      <c r="F71" s="43"/>
      <c r="G71" s="93"/>
      <c r="H71" s="94">
        <f>IFERROR(CRG!P69,0)</f>
        <v>0</v>
      </c>
      <c r="I71" s="94" t="str">
        <f>IF(J71="","",IFERROR((CRG!P69*Q71),0))</f>
        <v/>
      </c>
      <c r="J71" s="100" t="str">
        <f t="shared" ref="J71:J105" si="7">IF(E71="","",EDATE(E71,F71))</f>
        <v/>
      </c>
      <c r="K71" s="94" t="str">
        <f t="shared" ref="K71:K105" si="8">IF(L71="",(IF(G71="","",ROUNDDOWN((G71-I71),0))),L71)</f>
        <v/>
      </c>
      <c r="L71" s="101"/>
      <c r="M71" s="102"/>
      <c r="O71" s="45">
        <f t="shared" ref="O71:O105" si="9">DATEDIF(E71,$E$3,"m")</f>
        <v>1512</v>
      </c>
      <c r="P71" s="45" t="str">
        <f t="shared" ref="P71:P105" si="10">IF(O71&gt;F71,"Amorti","En_cours")</f>
        <v>Amorti</v>
      </c>
      <c r="Q71" s="2">
        <f t="shared" ref="Q71:Q105" si="11">IF(P71="En_cours",O71,F71)</f>
        <v>0</v>
      </c>
      <c r="R71" s="45">
        <f t="shared" ref="R71:R105" si="12">F71-O71</f>
        <v>-1512</v>
      </c>
      <c r="S71" s="2" t="str">
        <f t="shared" ref="S71:S105" si="13">IF(R71&gt;=1,"OUI","NON")</f>
        <v>NON</v>
      </c>
    </row>
    <row r="72" spans="2:19">
      <c r="B72" s="89">
        <v>67</v>
      </c>
      <c r="C72" s="90"/>
      <c r="D72" s="91"/>
      <c r="E72" s="92"/>
      <c r="F72" s="43"/>
      <c r="G72" s="93"/>
      <c r="H72" s="94">
        <f>IFERROR(CRG!P70,0)</f>
        <v>0</v>
      </c>
      <c r="I72" s="94" t="str">
        <f>IF(J72="","",IFERROR((CRG!P70*Q72),0))</f>
        <v/>
      </c>
      <c r="J72" s="100" t="str">
        <f t="shared" si="7"/>
        <v/>
      </c>
      <c r="K72" s="94" t="str">
        <f t="shared" si="8"/>
        <v/>
      </c>
      <c r="L72" s="101"/>
      <c r="M72" s="102"/>
      <c r="O72" s="45">
        <f t="shared" si="9"/>
        <v>1512</v>
      </c>
      <c r="P72" s="45" t="str">
        <f t="shared" si="10"/>
        <v>Amorti</v>
      </c>
      <c r="Q72" s="2">
        <f t="shared" si="11"/>
        <v>0</v>
      </c>
      <c r="R72" s="45">
        <f t="shared" si="12"/>
        <v>-1512</v>
      </c>
      <c r="S72" s="2" t="str">
        <f t="shared" si="13"/>
        <v>NON</v>
      </c>
    </row>
    <row r="73" spans="2:19">
      <c r="B73" s="89">
        <v>68</v>
      </c>
      <c r="C73" s="90"/>
      <c r="D73" s="91"/>
      <c r="E73" s="92"/>
      <c r="F73" s="43"/>
      <c r="G73" s="93"/>
      <c r="H73" s="94">
        <f>IFERROR(CRG!P71,0)</f>
        <v>0</v>
      </c>
      <c r="I73" s="94" t="str">
        <f>IF(J73="","",IFERROR((CRG!P71*Q73),0))</f>
        <v/>
      </c>
      <c r="J73" s="100" t="str">
        <f t="shared" si="7"/>
        <v/>
      </c>
      <c r="K73" s="94" t="str">
        <f t="shared" si="8"/>
        <v/>
      </c>
      <c r="L73" s="101"/>
      <c r="M73" s="102"/>
      <c r="O73" s="45">
        <f t="shared" si="9"/>
        <v>1512</v>
      </c>
      <c r="P73" s="45" t="str">
        <f t="shared" si="10"/>
        <v>Amorti</v>
      </c>
      <c r="Q73" s="2">
        <f t="shared" si="11"/>
        <v>0</v>
      </c>
      <c r="R73" s="45">
        <f t="shared" si="12"/>
        <v>-1512</v>
      </c>
      <c r="S73" s="2" t="str">
        <f t="shared" si="13"/>
        <v>NON</v>
      </c>
    </row>
    <row r="74" spans="2:19">
      <c r="B74" s="89">
        <v>69</v>
      </c>
      <c r="C74" s="90"/>
      <c r="D74" s="91"/>
      <c r="E74" s="92"/>
      <c r="F74" s="43"/>
      <c r="G74" s="93"/>
      <c r="H74" s="94">
        <f>IFERROR(CRG!P72,0)</f>
        <v>0</v>
      </c>
      <c r="I74" s="94" t="str">
        <f>IF(J74="","",IFERROR((CRG!P72*Q74),0))</f>
        <v/>
      </c>
      <c r="J74" s="100" t="str">
        <f t="shared" si="7"/>
        <v/>
      </c>
      <c r="K74" s="94" t="str">
        <f t="shared" si="8"/>
        <v/>
      </c>
      <c r="L74" s="101"/>
      <c r="M74" s="102"/>
      <c r="O74" s="45">
        <f t="shared" si="9"/>
        <v>1512</v>
      </c>
      <c r="P74" s="45" t="str">
        <f t="shared" si="10"/>
        <v>Amorti</v>
      </c>
      <c r="Q74" s="2">
        <f t="shared" si="11"/>
        <v>0</v>
      </c>
      <c r="R74" s="45">
        <f t="shared" si="12"/>
        <v>-1512</v>
      </c>
      <c r="S74" s="2" t="str">
        <f t="shared" si="13"/>
        <v>NON</v>
      </c>
    </row>
    <row r="75" spans="2:19">
      <c r="B75" s="89">
        <v>70</v>
      </c>
      <c r="C75" s="90"/>
      <c r="D75" s="91"/>
      <c r="E75" s="92"/>
      <c r="F75" s="43"/>
      <c r="G75" s="93"/>
      <c r="H75" s="94">
        <f>IFERROR(CRG!P73,0)</f>
        <v>0</v>
      </c>
      <c r="I75" s="94" t="str">
        <f>IF(J75="","",IFERROR((CRG!P73*Q75),0))</f>
        <v/>
      </c>
      <c r="J75" s="100" t="str">
        <f t="shared" si="7"/>
        <v/>
      </c>
      <c r="K75" s="94" t="str">
        <f t="shared" si="8"/>
        <v/>
      </c>
      <c r="L75" s="101"/>
      <c r="M75" s="102"/>
      <c r="O75" s="45">
        <f t="shared" si="9"/>
        <v>1512</v>
      </c>
      <c r="P75" s="45" t="str">
        <f t="shared" si="10"/>
        <v>Amorti</v>
      </c>
      <c r="Q75" s="2">
        <f t="shared" si="11"/>
        <v>0</v>
      </c>
      <c r="R75" s="45">
        <f t="shared" si="12"/>
        <v>-1512</v>
      </c>
      <c r="S75" s="2" t="str">
        <f t="shared" si="13"/>
        <v>NON</v>
      </c>
    </row>
    <row r="76" spans="2:19">
      <c r="B76" s="89">
        <v>71</v>
      </c>
      <c r="C76" s="90"/>
      <c r="D76" s="91"/>
      <c r="E76" s="92"/>
      <c r="F76" s="43"/>
      <c r="G76" s="93"/>
      <c r="H76" s="94">
        <f>IFERROR(CRG!P74,0)</f>
        <v>0</v>
      </c>
      <c r="I76" s="94" t="str">
        <f>IF(J76="","",IFERROR((CRG!P74*Q76),0))</f>
        <v/>
      </c>
      <c r="J76" s="100" t="str">
        <f t="shared" si="7"/>
        <v/>
      </c>
      <c r="K76" s="94" t="str">
        <f t="shared" si="8"/>
        <v/>
      </c>
      <c r="L76" s="101"/>
      <c r="M76" s="102"/>
      <c r="O76" s="45">
        <f t="shared" si="9"/>
        <v>1512</v>
      </c>
      <c r="P76" s="45" t="str">
        <f t="shared" si="10"/>
        <v>Amorti</v>
      </c>
      <c r="Q76" s="2">
        <f t="shared" si="11"/>
        <v>0</v>
      </c>
      <c r="R76" s="45">
        <f t="shared" si="12"/>
        <v>-1512</v>
      </c>
      <c r="S76" s="2" t="str">
        <f t="shared" si="13"/>
        <v>NON</v>
      </c>
    </row>
    <row r="77" spans="2:19">
      <c r="B77" s="89">
        <v>72</v>
      </c>
      <c r="C77" s="90"/>
      <c r="D77" s="91"/>
      <c r="E77" s="92"/>
      <c r="F77" s="43"/>
      <c r="G77" s="93"/>
      <c r="H77" s="94">
        <f>IFERROR(CRG!P75,0)</f>
        <v>0</v>
      </c>
      <c r="I77" s="94" t="str">
        <f>IF(J77="","",IFERROR((CRG!P75*Q77),0))</f>
        <v/>
      </c>
      <c r="J77" s="100" t="str">
        <f t="shared" si="7"/>
        <v/>
      </c>
      <c r="K77" s="94" t="str">
        <f t="shared" si="8"/>
        <v/>
      </c>
      <c r="L77" s="101"/>
      <c r="M77" s="102"/>
      <c r="O77" s="45">
        <f t="shared" si="9"/>
        <v>1512</v>
      </c>
      <c r="P77" s="45" t="str">
        <f t="shared" si="10"/>
        <v>Amorti</v>
      </c>
      <c r="Q77" s="2">
        <f t="shared" si="11"/>
        <v>0</v>
      </c>
      <c r="R77" s="45">
        <f t="shared" si="12"/>
        <v>-1512</v>
      </c>
      <c r="S77" s="2" t="str">
        <f t="shared" si="13"/>
        <v>NON</v>
      </c>
    </row>
    <row r="78" spans="2:19">
      <c r="B78" s="89">
        <v>73</v>
      </c>
      <c r="C78" s="90"/>
      <c r="D78" s="91"/>
      <c r="E78" s="92"/>
      <c r="F78" s="43"/>
      <c r="G78" s="93"/>
      <c r="H78" s="94">
        <f>IFERROR(CRG!P76,0)</f>
        <v>0</v>
      </c>
      <c r="I78" s="94" t="str">
        <f>IF(J78="","",IFERROR((CRG!P76*Q78),0))</f>
        <v/>
      </c>
      <c r="J78" s="100" t="str">
        <f t="shared" si="7"/>
        <v/>
      </c>
      <c r="K78" s="94" t="str">
        <f t="shared" si="8"/>
        <v/>
      </c>
      <c r="L78" s="101"/>
      <c r="M78" s="102"/>
      <c r="O78" s="45">
        <f t="shared" si="9"/>
        <v>1512</v>
      </c>
      <c r="P78" s="45" t="str">
        <f t="shared" si="10"/>
        <v>Amorti</v>
      </c>
      <c r="Q78" s="2">
        <f t="shared" si="11"/>
        <v>0</v>
      </c>
      <c r="R78" s="45">
        <f t="shared" si="12"/>
        <v>-1512</v>
      </c>
      <c r="S78" s="2" t="str">
        <f t="shared" si="13"/>
        <v>NON</v>
      </c>
    </row>
    <row r="79" spans="2:19">
      <c r="B79" s="89">
        <v>74</v>
      </c>
      <c r="C79" s="90"/>
      <c r="D79" s="91"/>
      <c r="E79" s="92"/>
      <c r="F79" s="43"/>
      <c r="G79" s="93"/>
      <c r="H79" s="94">
        <f>IFERROR(CRG!P77,0)</f>
        <v>0</v>
      </c>
      <c r="I79" s="94" t="str">
        <f>IF(J79="","",IFERROR((CRG!P77*Q79),0))</f>
        <v/>
      </c>
      <c r="J79" s="100" t="str">
        <f t="shared" si="7"/>
        <v/>
      </c>
      <c r="K79" s="94" t="str">
        <f t="shared" si="8"/>
        <v/>
      </c>
      <c r="L79" s="101"/>
      <c r="M79" s="102"/>
      <c r="O79" s="45">
        <f t="shared" si="9"/>
        <v>1512</v>
      </c>
      <c r="P79" s="45" t="str">
        <f t="shared" si="10"/>
        <v>Amorti</v>
      </c>
      <c r="Q79" s="2">
        <f t="shared" si="11"/>
        <v>0</v>
      </c>
      <c r="R79" s="45">
        <f t="shared" si="12"/>
        <v>-1512</v>
      </c>
      <c r="S79" s="2" t="str">
        <f t="shared" si="13"/>
        <v>NON</v>
      </c>
    </row>
    <row r="80" spans="2:19">
      <c r="B80" s="89">
        <v>75</v>
      </c>
      <c r="C80" s="90"/>
      <c r="D80" s="91"/>
      <c r="E80" s="92"/>
      <c r="F80" s="43"/>
      <c r="G80" s="93"/>
      <c r="H80" s="94">
        <f>IFERROR(CRG!P78,0)</f>
        <v>0</v>
      </c>
      <c r="I80" s="94" t="str">
        <f>IF(J80="","",IFERROR((CRG!P78*Q80),0))</f>
        <v/>
      </c>
      <c r="J80" s="100" t="str">
        <f t="shared" si="7"/>
        <v/>
      </c>
      <c r="K80" s="94" t="str">
        <f t="shared" si="8"/>
        <v/>
      </c>
      <c r="L80" s="101"/>
      <c r="M80" s="102"/>
      <c r="O80" s="45">
        <f t="shared" si="9"/>
        <v>1512</v>
      </c>
      <c r="P80" s="45" t="str">
        <f t="shared" si="10"/>
        <v>Amorti</v>
      </c>
      <c r="Q80" s="2">
        <f t="shared" si="11"/>
        <v>0</v>
      </c>
      <c r="R80" s="45">
        <f t="shared" si="12"/>
        <v>-1512</v>
      </c>
      <c r="S80" s="2" t="str">
        <f t="shared" si="13"/>
        <v>NON</v>
      </c>
    </row>
    <row r="81" spans="2:19">
      <c r="B81" s="89">
        <v>76</v>
      </c>
      <c r="C81" s="90"/>
      <c r="D81" s="91"/>
      <c r="E81" s="92"/>
      <c r="F81" s="43"/>
      <c r="G81" s="93"/>
      <c r="H81" s="94">
        <f>IFERROR(CRG!P79,0)</f>
        <v>0</v>
      </c>
      <c r="I81" s="94" t="str">
        <f>IF(J81="","",IFERROR((CRG!P79*Q81),0))</f>
        <v/>
      </c>
      <c r="J81" s="100" t="str">
        <f t="shared" si="7"/>
        <v/>
      </c>
      <c r="K81" s="94" t="str">
        <f t="shared" si="8"/>
        <v/>
      </c>
      <c r="L81" s="101"/>
      <c r="M81" s="102"/>
      <c r="O81" s="45">
        <f t="shared" si="9"/>
        <v>1512</v>
      </c>
      <c r="P81" s="45" t="str">
        <f t="shared" si="10"/>
        <v>Amorti</v>
      </c>
      <c r="Q81" s="2">
        <f t="shared" si="11"/>
        <v>0</v>
      </c>
      <c r="R81" s="45">
        <f t="shared" si="12"/>
        <v>-1512</v>
      </c>
      <c r="S81" s="2" t="str">
        <f t="shared" si="13"/>
        <v>NON</v>
      </c>
    </row>
    <row r="82" spans="2:19">
      <c r="B82" s="89">
        <v>77</v>
      </c>
      <c r="C82" s="90"/>
      <c r="D82" s="91"/>
      <c r="E82" s="92"/>
      <c r="F82" s="43"/>
      <c r="G82" s="93"/>
      <c r="H82" s="94">
        <f>IFERROR(CRG!P80,0)</f>
        <v>0</v>
      </c>
      <c r="I82" s="94" t="str">
        <f>IF(J82="","",IFERROR((CRG!P80*Q82),0))</f>
        <v/>
      </c>
      <c r="J82" s="100" t="str">
        <f t="shared" si="7"/>
        <v/>
      </c>
      <c r="K82" s="94" t="str">
        <f t="shared" si="8"/>
        <v/>
      </c>
      <c r="L82" s="101"/>
      <c r="M82" s="102"/>
      <c r="O82" s="45">
        <f t="shared" si="9"/>
        <v>1512</v>
      </c>
      <c r="P82" s="45" t="str">
        <f t="shared" si="10"/>
        <v>Amorti</v>
      </c>
      <c r="Q82" s="2">
        <f t="shared" si="11"/>
        <v>0</v>
      </c>
      <c r="R82" s="45">
        <f t="shared" si="12"/>
        <v>-1512</v>
      </c>
      <c r="S82" s="2" t="str">
        <f t="shared" si="13"/>
        <v>NON</v>
      </c>
    </row>
    <row r="83" spans="2:19">
      <c r="B83" s="89">
        <v>78</v>
      </c>
      <c r="C83" s="90"/>
      <c r="D83" s="91"/>
      <c r="E83" s="92"/>
      <c r="F83" s="43"/>
      <c r="G83" s="93"/>
      <c r="H83" s="94">
        <f>IFERROR(CRG!P81,0)</f>
        <v>0</v>
      </c>
      <c r="I83" s="94" t="str">
        <f>IF(J83="","",IFERROR((CRG!P81*Q83),0))</f>
        <v/>
      </c>
      <c r="J83" s="100" t="str">
        <f t="shared" si="7"/>
        <v/>
      </c>
      <c r="K83" s="94" t="str">
        <f t="shared" si="8"/>
        <v/>
      </c>
      <c r="L83" s="101"/>
      <c r="M83" s="102"/>
      <c r="O83" s="45">
        <f t="shared" si="9"/>
        <v>1512</v>
      </c>
      <c r="P83" s="45" t="str">
        <f t="shared" si="10"/>
        <v>Amorti</v>
      </c>
      <c r="Q83" s="2">
        <f t="shared" si="11"/>
        <v>0</v>
      </c>
      <c r="R83" s="45">
        <f t="shared" si="12"/>
        <v>-1512</v>
      </c>
      <c r="S83" s="2" t="str">
        <f t="shared" si="13"/>
        <v>NON</v>
      </c>
    </row>
    <row r="84" spans="2:19">
      <c r="B84" s="89">
        <v>79</v>
      </c>
      <c r="C84" s="90"/>
      <c r="D84" s="91"/>
      <c r="E84" s="92"/>
      <c r="F84" s="43"/>
      <c r="G84" s="93"/>
      <c r="H84" s="94">
        <f>IFERROR(CRG!P82,0)</f>
        <v>0</v>
      </c>
      <c r="I84" s="94" t="str">
        <f>IF(J84="","",IFERROR((CRG!P82*Q84),0))</f>
        <v/>
      </c>
      <c r="J84" s="100" t="str">
        <f t="shared" si="7"/>
        <v/>
      </c>
      <c r="K84" s="94" t="str">
        <f t="shared" si="8"/>
        <v/>
      </c>
      <c r="L84" s="101"/>
      <c r="M84" s="102"/>
      <c r="O84" s="45">
        <f t="shared" si="9"/>
        <v>1512</v>
      </c>
      <c r="P84" s="45" t="str">
        <f t="shared" si="10"/>
        <v>Amorti</v>
      </c>
      <c r="Q84" s="2">
        <f t="shared" si="11"/>
        <v>0</v>
      </c>
      <c r="R84" s="45">
        <f t="shared" si="12"/>
        <v>-1512</v>
      </c>
      <c r="S84" s="2" t="str">
        <f t="shared" si="13"/>
        <v>NON</v>
      </c>
    </row>
    <row r="85" spans="2:19">
      <c r="B85" s="89">
        <v>80</v>
      </c>
      <c r="C85" s="90"/>
      <c r="D85" s="91"/>
      <c r="E85" s="92"/>
      <c r="F85" s="43"/>
      <c r="G85" s="93"/>
      <c r="H85" s="94">
        <f>IFERROR(CRG!P83,0)</f>
        <v>0</v>
      </c>
      <c r="I85" s="94" t="str">
        <f>IF(J85="","",IFERROR((CRG!P83*Q85),0))</f>
        <v/>
      </c>
      <c r="J85" s="100" t="str">
        <f t="shared" si="7"/>
        <v/>
      </c>
      <c r="K85" s="94" t="str">
        <f t="shared" si="8"/>
        <v/>
      </c>
      <c r="L85" s="101"/>
      <c r="M85" s="102"/>
      <c r="O85" s="45">
        <f t="shared" si="9"/>
        <v>1512</v>
      </c>
      <c r="P85" s="45" t="str">
        <f t="shared" si="10"/>
        <v>Amorti</v>
      </c>
      <c r="Q85" s="2">
        <f t="shared" si="11"/>
        <v>0</v>
      </c>
      <c r="R85" s="45">
        <f t="shared" si="12"/>
        <v>-1512</v>
      </c>
      <c r="S85" s="2" t="str">
        <f t="shared" si="13"/>
        <v>NON</v>
      </c>
    </row>
    <row r="86" spans="2:19">
      <c r="B86" s="89">
        <v>81</v>
      </c>
      <c r="C86" s="90"/>
      <c r="D86" s="91"/>
      <c r="E86" s="92"/>
      <c r="F86" s="43"/>
      <c r="G86" s="93"/>
      <c r="H86" s="94">
        <f>IFERROR(CRG!P84,0)</f>
        <v>0</v>
      </c>
      <c r="I86" s="94" t="str">
        <f>IF(J86="","",IFERROR((CRG!P84*Q86),0))</f>
        <v/>
      </c>
      <c r="J86" s="100" t="str">
        <f t="shared" si="7"/>
        <v/>
      </c>
      <c r="K86" s="94" t="str">
        <f t="shared" si="8"/>
        <v/>
      </c>
      <c r="L86" s="101"/>
      <c r="M86" s="102"/>
      <c r="O86" s="45">
        <f t="shared" si="9"/>
        <v>1512</v>
      </c>
      <c r="P86" s="45" t="str">
        <f t="shared" si="10"/>
        <v>Amorti</v>
      </c>
      <c r="Q86" s="2">
        <f t="shared" si="11"/>
        <v>0</v>
      </c>
      <c r="R86" s="45">
        <f t="shared" si="12"/>
        <v>-1512</v>
      </c>
      <c r="S86" s="2" t="str">
        <f t="shared" si="13"/>
        <v>NON</v>
      </c>
    </row>
    <row r="87" spans="2:19">
      <c r="B87" s="89">
        <v>82</v>
      </c>
      <c r="C87" s="90"/>
      <c r="D87" s="91"/>
      <c r="E87" s="92"/>
      <c r="F87" s="43"/>
      <c r="G87" s="93"/>
      <c r="H87" s="94">
        <f>IFERROR(CRG!P85,0)</f>
        <v>0</v>
      </c>
      <c r="I87" s="94" t="str">
        <f>IF(J87="","",IFERROR((CRG!P85*Q87),0))</f>
        <v/>
      </c>
      <c r="J87" s="100" t="str">
        <f t="shared" si="7"/>
        <v/>
      </c>
      <c r="K87" s="94" t="str">
        <f t="shared" si="8"/>
        <v/>
      </c>
      <c r="L87" s="101"/>
      <c r="M87" s="102"/>
      <c r="O87" s="45">
        <f t="shared" si="9"/>
        <v>1512</v>
      </c>
      <c r="P87" s="45" t="str">
        <f t="shared" si="10"/>
        <v>Amorti</v>
      </c>
      <c r="Q87" s="2">
        <f t="shared" si="11"/>
        <v>0</v>
      </c>
      <c r="R87" s="45">
        <f t="shared" si="12"/>
        <v>-1512</v>
      </c>
      <c r="S87" s="2" t="str">
        <f t="shared" si="13"/>
        <v>NON</v>
      </c>
    </row>
    <row r="88" spans="2:19">
      <c r="B88" s="89">
        <v>83</v>
      </c>
      <c r="C88" s="90"/>
      <c r="D88" s="91"/>
      <c r="E88" s="92"/>
      <c r="F88" s="43"/>
      <c r="G88" s="93"/>
      <c r="H88" s="94">
        <f>IFERROR(CRG!P86,0)</f>
        <v>0</v>
      </c>
      <c r="I88" s="94" t="str">
        <f>IF(J88="","",IFERROR((CRG!P86*Q88),0))</f>
        <v/>
      </c>
      <c r="J88" s="100" t="str">
        <f t="shared" si="7"/>
        <v/>
      </c>
      <c r="K88" s="94" t="str">
        <f t="shared" si="8"/>
        <v/>
      </c>
      <c r="L88" s="101"/>
      <c r="M88" s="102"/>
      <c r="O88" s="45">
        <f t="shared" si="9"/>
        <v>1512</v>
      </c>
      <c r="P88" s="45" t="str">
        <f t="shared" si="10"/>
        <v>Amorti</v>
      </c>
      <c r="Q88" s="2">
        <f t="shared" si="11"/>
        <v>0</v>
      </c>
      <c r="R88" s="45">
        <f t="shared" si="12"/>
        <v>-1512</v>
      </c>
      <c r="S88" s="2" t="str">
        <f t="shared" si="13"/>
        <v>NON</v>
      </c>
    </row>
    <row r="89" spans="2:19">
      <c r="B89" s="89">
        <v>84</v>
      </c>
      <c r="C89" s="90"/>
      <c r="D89" s="91"/>
      <c r="E89" s="92"/>
      <c r="F89" s="43"/>
      <c r="G89" s="93"/>
      <c r="H89" s="94">
        <f>IFERROR(CRG!P87,0)</f>
        <v>0</v>
      </c>
      <c r="I89" s="94" t="str">
        <f>IF(J89="","",IFERROR((CRG!P87*Q89),0))</f>
        <v/>
      </c>
      <c r="J89" s="100" t="str">
        <f t="shared" si="7"/>
        <v/>
      </c>
      <c r="K89" s="94" t="str">
        <f t="shared" si="8"/>
        <v/>
      </c>
      <c r="L89" s="101"/>
      <c r="M89" s="102"/>
      <c r="O89" s="45">
        <f t="shared" si="9"/>
        <v>1512</v>
      </c>
      <c r="P89" s="45" t="str">
        <f t="shared" si="10"/>
        <v>Amorti</v>
      </c>
      <c r="Q89" s="2">
        <f t="shared" si="11"/>
        <v>0</v>
      </c>
      <c r="R89" s="45">
        <f t="shared" si="12"/>
        <v>-1512</v>
      </c>
      <c r="S89" s="2" t="str">
        <f t="shared" si="13"/>
        <v>NON</v>
      </c>
    </row>
    <row r="90" spans="2:19">
      <c r="B90" s="89">
        <v>85</v>
      </c>
      <c r="C90" s="90"/>
      <c r="D90" s="91"/>
      <c r="E90" s="92"/>
      <c r="F90" s="43"/>
      <c r="G90" s="93"/>
      <c r="H90" s="94">
        <f>IFERROR(CRG!P88,0)</f>
        <v>0</v>
      </c>
      <c r="I90" s="94" t="str">
        <f>IF(J90="","",IFERROR((CRG!P88*Q90),0))</f>
        <v/>
      </c>
      <c r="J90" s="100" t="str">
        <f t="shared" si="7"/>
        <v/>
      </c>
      <c r="K90" s="94" t="str">
        <f t="shared" si="8"/>
        <v/>
      </c>
      <c r="L90" s="101"/>
      <c r="M90" s="102"/>
      <c r="O90" s="45">
        <f t="shared" si="9"/>
        <v>1512</v>
      </c>
      <c r="P90" s="45" t="str">
        <f t="shared" si="10"/>
        <v>Amorti</v>
      </c>
      <c r="Q90" s="2">
        <f t="shared" si="11"/>
        <v>0</v>
      </c>
      <c r="R90" s="45">
        <f t="shared" si="12"/>
        <v>-1512</v>
      </c>
      <c r="S90" s="2" t="str">
        <f t="shared" si="13"/>
        <v>NON</v>
      </c>
    </row>
    <row r="91" spans="2:19">
      <c r="B91" s="89">
        <v>86</v>
      </c>
      <c r="C91" s="90"/>
      <c r="D91" s="91"/>
      <c r="E91" s="92"/>
      <c r="F91" s="43"/>
      <c r="G91" s="93"/>
      <c r="H91" s="94">
        <f>IFERROR(CRG!P89,0)</f>
        <v>0</v>
      </c>
      <c r="I91" s="94" t="str">
        <f>IF(J91="","",IFERROR((CRG!P89*Q91),0))</f>
        <v/>
      </c>
      <c r="J91" s="100" t="str">
        <f t="shared" si="7"/>
        <v/>
      </c>
      <c r="K91" s="94" t="str">
        <f t="shared" si="8"/>
        <v/>
      </c>
      <c r="L91" s="101"/>
      <c r="M91" s="102"/>
      <c r="O91" s="45">
        <f t="shared" si="9"/>
        <v>1512</v>
      </c>
      <c r="P91" s="45" t="str">
        <f t="shared" si="10"/>
        <v>Amorti</v>
      </c>
      <c r="Q91" s="2">
        <f t="shared" si="11"/>
        <v>0</v>
      </c>
      <c r="R91" s="45">
        <f t="shared" si="12"/>
        <v>-1512</v>
      </c>
      <c r="S91" s="2" t="str">
        <f t="shared" si="13"/>
        <v>NON</v>
      </c>
    </row>
    <row r="92" spans="2:19">
      <c r="B92" s="89">
        <v>87</v>
      </c>
      <c r="C92" s="90"/>
      <c r="D92" s="91"/>
      <c r="E92" s="92"/>
      <c r="F92" s="43"/>
      <c r="G92" s="93"/>
      <c r="H92" s="94">
        <f>IFERROR(CRG!P90,0)</f>
        <v>0</v>
      </c>
      <c r="I92" s="94" t="str">
        <f>IF(J92="","",IFERROR((CRG!P90*Q92),0))</f>
        <v/>
      </c>
      <c r="J92" s="100" t="str">
        <f t="shared" si="7"/>
        <v/>
      </c>
      <c r="K92" s="94" t="str">
        <f t="shared" si="8"/>
        <v/>
      </c>
      <c r="L92" s="101"/>
      <c r="M92" s="102"/>
      <c r="O92" s="45">
        <f t="shared" si="9"/>
        <v>1512</v>
      </c>
      <c r="P92" s="45" t="str">
        <f t="shared" si="10"/>
        <v>Amorti</v>
      </c>
      <c r="Q92" s="2">
        <f t="shared" si="11"/>
        <v>0</v>
      </c>
      <c r="R92" s="45">
        <f t="shared" si="12"/>
        <v>-1512</v>
      </c>
      <c r="S92" s="2" t="str">
        <f t="shared" si="13"/>
        <v>NON</v>
      </c>
    </row>
    <row r="93" spans="2:19">
      <c r="B93" s="89">
        <v>88</v>
      </c>
      <c r="C93" s="90"/>
      <c r="D93" s="91"/>
      <c r="E93" s="92"/>
      <c r="F93" s="43"/>
      <c r="G93" s="93"/>
      <c r="H93" s="94">
        <f>IFERROR(CRG!P91,0)</f>
        <v>0</v>
      </c>
      <c r="I93" s="94" t="str">
        <f>IF(J93="","",IFERROR((CRG!P91*Q93),0))</f>
        <v/>
      </c>
      <c r="J93" s="100" t="str">
        <f t="shared" si="7"/>
        <v/>
      </c>
      <c r="K93" s="94" t="str">
        <f t="shared" si="8"/>
        <v/>
      </c>
      <c r="L93" s="101"/>
      <c r="M93" s="102"/>
      <c r="O93" s="45">
        <f t="shared" si="9"/>
        <v>1512</v>
      </c>
      <c r="P93" s="45" t="str">
        <f t="shared" si="10"/>
        <v>Amorti</v>
      </c>
      <c r="Q93" s="2">
        <f t="shared" si="11"/>
        <v>0</v>
      </c>
      <c r="R93" s="45">
        <f t="shared" si="12"/>
        <v>-1512</v>
      </c>
      <c r="S93" s="2" t="str">
        <f t="shared" si="13"/>
        <v>NON</v>
      </c>
    </row>
    <row r="94" spans="2:19">
      <c r="B94" s="89">
        <v>89</v>
      </c>
      <c r="C94" s="90"/>
      <c r="D94" s="91"/>
      <c r="E94" s="92"/>
      <c r="F94" s="43"/>
      <c r="G94" s="93"/>
      <c r="H94" s="94">
        <f>IFERROR(CRG!P92,0)</f>
        <v>0</v>
      </c>
      <c r="I94" s="94" t="str">
        <f>IF(J94="","",IFERROR((CRG!P92*Q94),0))</f>
        <v/>
      </c>
      <c r="J94" s="100" t="str">
        <f t="shared" si="7"/>
        <v/>
      </c>
      <c r="K94" s="94" t="str">
        <f t="shared" si="8"/>
        <v/>
      </c>
      <c r="L94" s="101"/>
      <c r="M94" s="102"/>
      <c r="O94" s="45">
        <f t="shared" si="9"/>
        <v>1512</v>
      </c>
      <c r="P94" s="45" t="str">
        <f t="shared" si="10"/>
        <v>Amorti</v>
      </c>
      <c r="Q94" s="2">
        <f t="shared" si="11"/>
        <v>0</v>
      </c>
      <c r="R94" s="45">
        <f t="shared" si="12"/>
        <v>-1512</v>
      </c>
      <c r="S94" s="2" t="str">
        <f t="shared" si="13"/>
        <v>NON</v>
      </c>
    </row>
    <row r="95" spans="2:19">
      <c r="B95" s="89">
        <v>90</v>
      </c>
      <c r="C95" s="90"/>
      <c r="D95" s="91"/>
      <c r="E95" s="92"/>
      <c r="F95" s="43"/>
      <c r="G95" s="93"/>
      <c r="H95" s="94">
        <f>IFERROR(CRG!P93,0)</f>
        <v>0</v>
      </c>
      <c r="I95" s="94" t="str">
        <f>IF(J95="","",IFERROR((CRG!P93*Q95),0))</f>
        <v/>
      </c>
      <c r="J95" s="100" t="str">
        <f t="shared" si="7"/>
        <v/>
      </c>
      <c r="K95" s="94" t="str">
        <f t="shared" si="8"/>
        <v/>
      </c>
      <c r="L95" s="101"/>
      <c r="M95" s="102"/>
      <c r="O95" s="45">
        <f t="shared" si="9"/>
        <v>1512</v>
      </c>
      <c r="P95" s="45" t="str">
        <f t="shared" si="10"/>
        <v>Amorti</v>
      </c>
      <c r="Q95" s="2">
        <f t="shared" si="11"/>
        <v>0</v>
      </c>
      <c r="R95" s="45">
        <f t="shared" si="12"/>
        <v>-1512</v>
      </c>
      <c r="S95" s="2" t="str">
        <f t="shared" si="13"/>
        <v>NON</v>
      </c>
    </row>
    <row r="96" spans="2:19">
      <c r="B96" s="89">
        <v>91</v>
      </c>
      <c r="C96" s="90"/>
      <c r="D96" s="91"/>
      <c r="E96" s="92"/>
      <c r="F96" s="43"/>
      <c r="G96" s="93"/>
      <c r="H96" s="94">
        <f>IFERROR(CRG!P94,0)</f>
        <v>0</v>
      </c>
      <c r="I96" s="94" t="str">
        <f>IF(J96="","",IFERROR((CRG!P94*Q96),0))</f>
        <v/>
      </c>
      <c r="J96" s="100" t="str">
        <f t="shared" si="7"/>
        <v/>
      </c>
      <c r="K96" s="94" t="str">
        <f t="shared" si="8"/>
        <v/>
      </c>
      <c r="L96" s="101"/>
      <c r="M96" s="102"/>
      <c r="O96" s="45">
        <f t="shared" si="9"/>
        <v>1512</v>
      </c>
      <c r="P96" s="45" t="str">
        <f t="shared" si="10"/>
        <v>Amorti</v>
      </c>
      <c r="Q96" s="2">
        <f t="shared" si="11"/>
        <v>0</v>
      </c>
      <c r="R96" s="45">
        <f t="shared" si="12"/>
        <v>-1512</v>
      </c>
      <c r="S96" s="2" t="str">
        <f t="shared" si="13"/>
        <v>NON</v>
      </c>
    </row>
    <row r="97" spans="2:19">
      <c r="B97" s="89">
        <v>92</v>
      </c>
      <c r="C97" s="90"/>
      <c r="D97" s="91"/>
      <c r="E97" s="92"/>
      <c r="F97" s="43"/>
      <c r="G97" s="93"/>
      <c r="H97" s="94">
        <f>IFERROR(CRG!P95,0)</f>
        <v>0</v>
      </c>
      <c r="I97" s="94" t="str">
        <f>IF(J97="","",IFERROR((CRG!P95*Q97),0))</f>
        <v/>
      </c>
      <c r="J97" s="100" t="str">
        <f t="shared" si="7"/>
        <v/>
      </c>
      <c r="K97" s="94" t="str">
        <f t="shared" si="8"/>
        <v/>
      </c>
      <c r="L97" s="101"/>
      <c r="M97" s="102"/>
      <c r="O97" s="45">
        <f t="shared" si="9"/>
        <v>1512</v>
      </c>
      <c r="P97" s="45" t="str">
        <f t="shared" si="10"/>
        <v>Amorti</v>
      </c>
      <c r="Q97" s="2">
        <f t="shared" si="11"/>
        <v>0</v>
      </c>
      <c r="R97" s="45">
        <f t="shared" si="12"/>
        <v>-1512</v>
      </c>
      <c r="S97" s="2" t="str">
        <f t="shared" si="13"/>
        <v>NON</v>
      </c>
    </row>
    <row r="98" spans="2:19">
      <c r="B98" s="89">
        <v>93</v>
      </c>
      <c r="C98" s="90"/>
      <c r="D98" s="91"/>
      <c r="E98" s="92"/>
      <c r="F98" s="43"/>
      <c r="G98" s="93"/>
      <c r="H98" s="94">
        <f>IFERROR(CRG!P96,0)</f>
        <v>0</v>
      </c>
      <c r="I98" s="94" t="str">
        <f>IF(J98="","",IFERROR((CRG!P96*Q98),0))</f>
        <v/>
      </c>
      <c r="J98" s="100" t="str">
        <f t="shared" si="7"/>
        <v/>
      </c>
      <c r="K98" s="94" t="str">
        <f t="shared" si="8"/>
        <v/>
      </c>
      <c r="L98" s="101"/>
      <c r="M98" s="102"/>
      <c r="O98" s="45">
        <f t="shared" si="9"/>
        <v>1512</v>
      </c>
      <c r="P98" s="45" t="str">
        <f t="shared" si="10"/>
        <v>Amorti</v>
      </c>
      <c r="Q98" s="2">
        <f t="shared" si="11"/>
        <v>0</v>
      </c>
      <c r="R98" s="45">
        <f t="shared" si="12"/>
        <v>-1512</v>
      </c>
      <c r="S98" s="2" t="str">
        <f t="shared" si="13"/>
        <v>NON</v>
      </c>
    </row>
    <row r="99" spans="2:19">
      <c r="B99" s="89">
        <v>94</v>
      </c>
      <c r="C99" s="90"/>
      <c r="D99" s="91"/>
      <c r="E99" s="92"/>
      <c r="F99" s="43"/>
      <c r="G99" s="93"/>
      <c r="H99" s="94">
        <f>IFERROR(CRG!P97,0)</f>
        <v>0</v>
      </c>
      <c r="I99" s="94" t="str">
        <f>IF(J99="","",IFERROR((CRG!P97*Q99),0))</f>
        <v/>
      </c>
      <c r="J99" s="100" t="str">
        <f t="shared" si="7"/>
        <v/>
      </c>
      <c r="K99" s="94" t="str">
        <f t="shared" si="8"/>
        <v/>
      </c>
      <c r="L99" s="101"/>
      <c r="M99" s="102"/>
      <c r="O99" s="45">
        <f t="shared" si="9"/>
        <v>1512</v>
      </c>
      <c r="P99" s="45" t="str">
        <f t="shared" si="10"/>
        <v>Amorti</v>
      </c>
      <c r="Q99" s="2">
        <f t="shared" si="11"/>
        <v>0</v>
      </c>
      <c r="R99" s="45">
        <f t="shared" si="12"/>
        <v>-1512</v>
      </c>
      <c r="S99" s="2" t="str">
        <f t="shared" si="13"/>
        <v>NON</v>
      </c>
    </row>
    <row r="100" spans="2:19">
      <c r="B100" s="89">
        <v>95</v>
      </c>
      <c r="C100" s="90"/>
      <c r="D100" s="91"/>
      <c r="E100" s="92"/>
      <c r="F100" s="43"/>
      <c r="G100" s="93"/>
      <c r="H100" s="94">
        <f>IFERROR(CRG!P98,0)</f>
        <v>0</v>
      </c>
      <c r="I100" s="94" t="str">
        <f>IF(J100="","",IFERROR((CRG!P98*Q100),0))</f>
        <v/>
      </c>
      <c r="J100" s="100" t="str">
        <f t="shared" si="7"/>
        <v/>
      </c>
      <c r="K100" s="94" t="str">
        <f t="shared" si="8"/>
        <v/>
      </c>
      <c r="L100" s="101"/>
      <c r="M100" s="102"/>
      <c r="O100" s="45">
        <f t="shared" si="9"/>
        <v>1512</v>
      </c>
      <c r="P100" s="45" t="str">
        <f t="shared" si="10"/>
        <v>Amorti</v>
      </c>
      <c r="Q100" s="2">
        <f t="shared" si="11"/>
        <v>0</v>
      </c>
      <c r="R100" s="45">
        <f t="shared" si="12"/>
        <v>-1512</v>
      </c>
      <c r="S100" s="2" t="str">
        <f t="shared" si="13"/>
        <v>NON</v>
      </c>
    </row>
    <row r="101" spans="2:19">
      <c r="B101" s="89">
        <v>96</v>
      </c>
      <c r="C101" s="90"/>
      <c r="D101" s="91"/>
      <c r="E101" s="92"/>
      <c r="F101" s="43"/>
      <c r="G101" s="93"/>
      <c r="H101" s="94">
        <f>IFERROR(CRG!P99,0)</f>
        <v>0</v>
      </c>
      <c r="I101" s="94" t="str">
        <f>IF(J101="","",IFERROR((CRG!P99*Q101),0))</f>
        <v/>
      </c>
      <c r="J101" s="100" t="str">
        <f t="shared" si="7"/>
        <v/>
      </c>
      <c r="K101" s="94" t="str">
        <f t="shared" si="8"/>
        <v/>
      </c>
      <c r="L101" s="101"/>
      <c r="M101" s="102"/>
      <c r="O101" s="45">
        <f t="shared" si="9"/>
        <v>1512</v>
      </c>
      <c r="P101" s="45" t="str">
        <f t="shared" si="10"/>
        <v>Amorti</v>
      </c>
      <c r="Q101" s="2">
        <f t="shared" si="11"/>
        <v>0</v>
      </c>
      <c r="R101" s="45">
        <f t="shared" si="12"/>
        <v>-1512</v>
      </c>
      <c r="S101" s="2" t="str">
        <f t="shared" si="13"/>
        <v>NON</v>
      </c>
    </row>
    <row r="102" spans="2:19">
      <c r="B102" s="89">
        <v>97</v>
      </c>
      <c r="C102" s="90"/>
      <c r="D102" s="91"/>
      <c r="E102" s="92"/>
      <c r="F102" s="43"/>
      <c r="G102" s="93"/>
      <c r="H102" s="94">
        <f>IFERROR(CRG!P100,0)</f>
        <v>0</v>
      </c>
      <c r="I102" s="94" t="str">
        <f>IF(J102="","",IFERROR((CRG!P100*Q102),0))</f>
        <v/>
      </c>
      <c r="J102" s="100" t="str">
        <f t="shared" si="7"/>
        <v/>
      </c>
      <c r="K102" s="94" t="str">
        <f t="shared" si="8"/>
        <v/>
      </c>
      <c r="L102" s="101"/>
      <c r="M102" s="102"/>
      <c r="O102" s="45">
        <f t="shared" si="9"/>
        <v>1512</v>
      </c>
      <c r="P102" s="45" t="str">
        <f t="shared" si="10"/>
        <v>Amorti</v>
      </c>
      <c r="Q102" s="2">
        <f t="shared" si="11"/>
        <v>0</v>
      </c>
      <c r="R102" s="45">
        <f t="shared" si="12"/>
        <v>-1512</v>
      </c>
      <c r="S102" s="2" t="str">
        <f t="shared" si="13"/>
        <v>NON</v>
      </c>
    </row>
    <row r="103" spans="2:19">
      <c r="B103" s="89">
        <v>98</v>
      </c>
      <c r="C103" s="90"/>
      <c r="D103" s="91"/>
      <c r="E103" s="92"/>
      <c r="F103" s="43"/>
      <c r="G103" s="93"/>
      <c r="H103" s="94">
        <f>IFERROR(CRG!P101,0)</f>
        <v>0</v>
      </c>
      <c r="I103" s="94" t="str">
        <f>IF(J103="","",IFERROR((CRG!P101*Q103),0))</f>
        <v/>
      </c>
      <c r="J103" s="100" t="str">
        <f t="shared" si="7"/>
        <v/>
      </c>
      <c r="K103" s="94" t="str">
        <f t="shared" si="8"/>
        <v/>
      </c>
      <c r="L103" s="101"/>
      <c r="M103" s="102"/>
      <c r="O103" s="45">
        <f t="shared" si="9"/>
        <v>1512</v>
      </c>
      <c r="P103" s="45" t="str">
        <f t="shared" si="10"/>
        <v>Amorti</v>
      </c>
      <c r="Q103" s="2">
        <f t="shared" si="11"/>
        <v>0</v>
      </c>
      <c r="R103" s="45">
        <f t="shared" si="12"/>
        <v>-1512</v>
      </c>
      <c r="S103" s="2" t="str">
        <f t="shared" si="13"/>
        <v>NON</v>
      </c>
    </row>
    <row r="104" spans="2:19">
      <c r="B104" s="89">
        <v>99</v>
      </c>
      <c r="C104" s="90"/>
      <c r="D104" s="91"/>
      <c r="E104" s="92"/>
      <c r="F104" s="43"/>
      <c r="G104" s="93"/>
      <c r="H104" s="94">
        <f>IFERROR(CRG!P102,0)</f>
        <v>0</v>
      </c>
      <c r="I104" s="94" t="str">
        <f>IF(J104="","",IFERROR((CRG!P102*Q104),0))</f>
        <v/>
      </c>
      <c r="J104" s="100" t="str">
        <f t="shared" si="7"/>
        <v/>
      </c>
      <c r="K104" s="94" t="str">
        <f t="shared" si="8"/>
        <v/>
      </c>
      <c r="L104" s="101"/>
      <c r="M104" s="102"/>
      <c r="O104" s="45">
        <f t="shared" si="9"/>
        <v>1512</v>
      </c>
      <c r="P104" s="45" t="str">
        <f t="shared" si="10"/>
        <v>Amorti</v>
      </c>
      <c r="Q104" s="2">
        <f t="shared" si="11"/>
        <v>0</v>
      </c>
      <c r="R104" s="45">
        <f t="shared" si="12"/>
        <v>-1512</v>
      </c>
      <c r="S104" s="2" t="str">
        <f t="shared" si="13"/>
        <v>NON</v>
      </c>
    </row>
    <row r="105" spans="2:19">
      <c r="B105" s="89">
        <v>100</v>
      </c>
      <c r="C105" s="90"/>
      <c r="D105" s="91"/>
      <c r="E105" s="92"/>
      <c r="F105" s="43"/>
      <c r="G105" s="93"/>
      <c r="H105" s="94">
        <v>0</v>
      </c>
      <c r="I105" s="94" t="str">
        <f>IF(J105="","",IFERROR((CRG!P103*Q105),0))</f>
        <v/>
      </c>
      <c r="J105" s="100" t="str">
        <f t="shared" si="7"/>
        <v/>
      </c>
      <c r="K105" s="94" t="str">
        <f t="shared" si="8"/>
        <v/>
      </c>
      <c r="L105" s="101"/>
      <c r="M105" s="104"/>
      <c r="O105" s="45">
        <f t="shared" si="9"/>
        <v>1512</v>
      </c>
      <c r="P105" s="45" t="str">
        <f t="shared" si="10"/>
        <v>Amorti</v>
      </c>
      <c r="Q105" s="2">
        <f t="shared" si="11"/>
        <v>0</v>
      </c>
      <c r="R105" s="45">
        <f t="shared" si="12"/>
        <v>-1512</v>
      </c>
      <c r="S105" s="2" t="str">
        <f t="shared" si="13"/>
        <v>NON</v>
      </c>
    </row>
    <row r="106" spans="2:19">
      <c r="G106" s="103"/>
      <c r="N106" s="3"/>
      <c r="O106" s="3"/>
      <c r="P106" s="105"/>
      <c r="Q106" s="3"/>
      <c r="R106" s="105"/>
      <c r="S106" s="3"/>
    </row>
  </sheetData>
  <sheetProtection algorithmName="SHA-512" hashValue="bxfTU4kj6EKBuFaIueuT5/5kCmCa/WCC7hJuStWER4aPACkIAzjaTj9V81YPndGVxF20zHSvlsA7hTmXlXZnow==" saltValue="gJqzjhyewlmWZ0J8pTQTAw==" spinCount="100000" sheet="1" objects="1" scenarios="1" selectLockedCells="1"/>
  <mergeCells count="2">
    <mergeCell ref="C2:C3"/>
    <mergeCell ref="F2:H3"/>
  </mergeCells>
  <conditionalFormatting sqref="E2:E3">
    <cfRule type="expression" dxfId="49" priority="1">
      <formula>E3&lt;&gt;""</formula>
    </cfRule>
  </conditionalFormatting>
  <conditionalFormatting sqref="F2:H3">
    <cfRule type="containsText" dxfId="48" priority="2" operator="containsText" text="Attention! Veuillez renseigner la date d'évaluation en haut de la feuille - Collecte des données">
      <formula>NOT(ISERROR(SEARCH("Attention! Veuillez renseigner la date d'évaluation en haut de la feuille - Collecte des données",F2)))</formula>
    </cfRule>
  </conditionalFormatting>
  <dataValidations count="7">
    <dataValidation type="list" allowBlank="1" showInputMessage="1" showErrorMessage="1" errorTitle="CRG" sqref="D6">
      <formula1>Immobilisations</formula1>
    </dataValidation>
    <dataValidation type="whole" operator="greaterThan" allowBlank="1" showInputMessage="1" showErrorMessage="1" errorTitle="CRG" sqref="G6">
      <formula1>0</formula1>
    </dataValidation>
    <dataValidation type="list" allowBlank="1" showInputMessage="1" showErrorMessage="1" sqref="D7:D105">
      <formula1>Immobilisations</formula1>
    </dataValidation>
    <dataValidation type="date" operator="greaterThan" allowBlank="1" showInputMessage="1" showErrorMessage="1" errorTitle="CRG" error="Respecter le format date de votre ordinateur !" sqref="E6:E105">
      <formula1>21916</formula1>
    </dataValidation>
    <dataValidation type="whole" allowBlank="1" showInputMessage="1" showErrorMessage="1" errorTitle="CRG" sqref="F6:F105">
      <formula1>1</formula1>
      <formula2>240</formula2>
    </dataValidation>
    <dataValidation type="whole" operator="greaterThan" allowBlank="1" showInputMessage="1" showErrorMessage="1" sqref="G7:G105">
      <formula1>0</formula1>
    </dataValidation>
    <dataValidation type="decimal" allowBlank="1" showInputMessage="1" showErrorMessage="1" sqref="L6:L105">
      <formula1>0</formula1>
      <formula2>1000000000000</formula2>
    </dataValidation>
  </dataValidations>
  <hyperlinks>
    <hyperlink ref="C2:C3" location="'Collecte des données'!Zone_d_impression" display="←"/>
  </hyperlinks>
  <pageMargins left="0.7" right="0.7" top="0.75" bottom="0.75" header="0.3" footer="0.3"/>
  <pageSetup paperSize="9" orientation="landscape" r:id="rId1"/>
  <ignoredErrors>
    <ignoredError sqref="E3"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Y128"/>
  <sheetViews>
    <sheetView showGridLines="0" showRowColHeaders="0" tabSelected="1" topLeftCell="A68" zoomScale="120" zoomScaleNormal="120" workbookViewId="0">
      <selection activeCell="G41" sqref="G41:H41"/>
    </sheetView>
  </sheetViews>
  <sheetFormatPr baseColWidth="10" defaultColWidth="11" defaultRowHeight="13.5"/>
  <cols>
    <col min="1" max="1" width="4.625" customWidth="1"/>
    <col min="2" max="2" width="5.625" customWidth="1"/>
    <col min="3" max="8" width="6.25" customWidth="1"/>
    <col min="9" max="9" width="6.75" customWidth="1"/>
    <col min="10" max="10" width="6.25" customWidth="1"/>
    <col min="11" max="11" width="5.875" customWidth="1"/>
    <col min="12" max="13" width="5.5" customWidth="1"/>
    <col min="14" max="14" width="5.875" customWidth="1"/>
    <col min="15" max="15" width="5.75" customWidth="1"/>
    <col min="16" max="16" width="5.625" customWidth="1"/>
    <col min="17" max="17" width="5.5" customWidth="1"/>
    <col min="18" max="18" width="5.75" customWidth="1"/>
    <col min="19" max="19" width="5.5" customWidth="1"/>
    <col min="20" max="21" width="5.75" customWidth="1"/>
    <col min="22" max="22" width="6.125" customWidth="1"/>
    <col min="23" max="23" width="6.375" customWidth="1"/>
    <col min="24" max="24" width="6.125" customWidth="1"/>
    <col min="25" max="25" width="6.25" customWidth="1"/>
    <col min="26" max="26" width="6.5" customWidth="1"/>
    <col min="27" max="28" width="6.25" customWidth="1"/>
    <col min="29" max="29" width="6.125" customWidth="1"/>
    <col min="30" max="30" width="5.5" customWidth="1"/>
    <col min="31" max="32" width="5.75" customWidth="1"/>
    <col min="33" max="33" width="5.625" customWidth="1"/>
    <col min="34" max="34" width="5.75" customWidth="1"/>
    <col min="35" max="36" width="5.625" customWidth="1"/>
    <col min="37" max="37" width="5.75" customWidth="1"/>
    <col min="38" max="38" width="5.875" customWidth="1"/>
    <col min="39" max="39" width="5.375" customWidth="1"/>
    <col min="40" max="40" width="5.5" customWidth="1"/>
    <col min="41" max="41" width="5.25" customWidth="1"/>
  </cols>
  <sheetData>
    <row r="2" spans="2:22">
      <c r="C2" s="16"/>
      <c r="D2" s="16"/>
      <c r="E2" s="434" t="s">
        <v>350</v>
      </c>
      <c r="F2" s="434"/>
      <c r="G2" s="434"/>
      <c r="H2" s="434"/>
      <c r="I2" s="434"/>
      <c r="J2" s="434"/>
      <c r="K2" s="434"/>
      <c r="L2" s="434"/>
      <c r="M2" s="434"/>
      <c r="N2" s="434"/>
      <c r="O2" s="434"/>
      <c r="P2" s="434"/>
      <c r="Q2" s="434"/>
      <c r="R2" s="16"/>
      <c r="S2" s="16"/>
      <c r="T2" s="16"/>
    </row>
    <row r="3" spans="2:22">
      <c r="C3" s="17" t="s">
        <v>351</v>
      </c>
      <c r="D3" s="17"/>
      <c r="E3" s="17"/>
    </row>
    <row r="5" spans="2:22">
      <c r="C5" s="435" t="s">
        <v>352</v>
      </c>
      <c r="D5" s="435"/>
      <c r="E5" s="435"/>
      <c r="F5" s="435"/>
      <c r="G5" s="435"/>
      <c r="I5" s="435" t="str">
        <f>IF('Collecte des données'!I3="","",'Collecte des données'!I3)</f>
        <v>BARRY AISSATOU BOBO</v>
      </c>
      <c r="J5" s="435"/>
      <c r="K5" s="435"/>
      <c r="L5" s="435"/>
      <c r="M5" s="435"/>
      <c r="N5" s="435"/>
      <c r="O5" s="435"/>
      <c r="Q5" s="436" t="s">
        <v>247</v>
      </c>
      <c r="R5" s="436"/>
      <c r="S5" s="437">
        <f>IF('Collecte des données'!R3="","",'Collecte des données'!R3)</f>
        <v>95240025289</v>
      </c>
      <c r="T5" s="437"/>
    </row>
    <row r="6" spans="2:22">
      <c r="K6" s="445" t="str">
        <f>Amorts!F2</f>
        <v/>
      </c>
      <c r="L6" s="445"/>
      <c r="M6" s="445"/>
      <c r="N6" s="445"/>
      <c r="O6" s="445"/>
      <c r="P6" s="445"/>
      <c r="Q6" s="445"/>
      <c r="R6" s="445"/>
      <c r="S6" s="445"/>
      <c r="T6" s="445"/>
    </row>
    <row r="7" spans="2:22">
      <c r="C7" s="435" t="s">
        <v>353</v>
      </c>
      <c r="D7" s="435"/>
      <c r="E7" s="435"/>
      <c r="F7" s="438"/>
      <c r="G7" s="438"/>
      <c r="I7" s="439">
        <f>IF('Collecte des données'!D3="","",'Collecte des données'!D3)</f>
        <v>46038</v>
      </c>
      <c r="J7" s="439"/>
      <c r="K7" s="445"/>
      <c r="L7" s="445"/>
      <c r="M7" s="445"/>
      <c r="N7" s="445"/>
      <c r="O7" s="445"/>
      <c r="P7" s="445"/>
      <c r="Q7" s="445"/>
      <c r="R7" s="445"/>
      <c r="S7" s="445"/>
      <c r="T7" s="445"/>
      <c r="V7" s="40"/>
    </row>
    <row r="9" spans="2:22">
      <c r="C9" s="440" t="s">
        <v>354</v>
      </c>
      <c r="D9" s="440"/>
      <c r="E9" s="441" t="str">
        <f>IF('Collecte des données'!I20="","",IF(OR(Analyse!I9="Modifier cycle",Analyse!I9=""),'Collecte des données'!I20,""))</f>
        <v/>
      </c>
      <c r="F9" s="441"/>
      <c r="G9" s="441"/>
      <c r="H9" s="441"/>
      <c r="I9" s="442" t="s">
        <v>27</v>
      </c>
      <c r="J9" s="443"/>
      <c r="K9" s="443"/>
      <c r="L9" s="444"/>
    </row>
    <row r="10" spans="2:22">
      <c r="S10" s="446" t="s">
        <v>355</v>
      </c>
      <c r="T10" s="446"/>
    </row>
    <row r="11" spans="2:22" ht="15">
      <c r="B11" s="18" t="s">
        <v>184</v>
      </c>
      <c r="C11" s="19" t="s">
        <v>356</v>
      </c>
      <c r="D11" s="20"/>
      <c r="E11" s="20"/>
      <c r="F11" s="20"/>
      <c r="G11" s="20"/>
      <c r="H11" s="20"/>
      <c r="I11" s="447" t="s">
        <v>357</v>
      </c>
      <c r="J11" s="447"/>
      <c r="K11" s="447"/>
      <c r="L11" s="447"/>
      <c r="M11" s="447" t="s">
        <v>358</v>
      </c>
      <c r="N11" s="447"/>
      <c r="O11" s="447"/>
      <c r="P11" s="447"/>
      <c r="Q11" s="41"/>
      <c r="R11" s="41"/>
      <c r="S11" s="41"/>
      <c r="T11" s="42"/>
    </row>
    <row r="12" spans="2:22" ht="15">
      <c r="C12" s="448" t="s">
        <v>359</v>
      </c>
      <c r="D12" s="449"/>
      <c r="E12" s="449"/>
      <c r="F12" s="449"/>
      <c r="G12" s="449"/>
      <c r="H12" s="449"/>
      <c r="I12" s="450" t="s">
        <v>360</v>
      </c>
      <c r="J12" s="450"/>
      <c r="K12" s="450"/>
      <c r="L12" s="450"/>
      <c r="M12" s="450" t="s">
        <v>361</v>
      </c>
      <c r="N12" s="450"/>
      <c r="O12" s="450"/>
      <c r="P12" s="450"/>
      <c r="Q12" s="450" t="s">
        <v>362</v>
      </c>
      <c r="R12" s="450"/>
      <c r="S12" s="450"/>
      <c r="T12" s="451"/>
    </row>
    <row r="13" spans="2:22" ht="14.25">
      <c r="C13" s="452" t="s">
        <v>99</v>
      </c>
      <c r="D13" s="453"/>
      <c r="E13" s="453"/>
      <c r="F13" s="21"/>
      <c r="G13" s="21"/>
      <c r="H13" s="21"/>
      <c r="I13" s="454">
        <f>SUM(I14:K21)</f>
        <v>50000000</v>
      </c>
      <c r="J13" s="454"/>
      <c r="K13" s="454"/>
      <c r="L13" s="454"/>
      <c r="M13" s="455"/>
      <c r="N13" s="455"/>
      <c r="O13" s="455"/>
      <c r="P13" s="455"/>
      <c r="Q13" s="456"/>
      <c r="R13" s="456"/>
      <c r="S13" s="456"/>
      <c r="T13" s="456"/>
    </row>
    <row r="14" spans="2:22" ht="14.25">
      <c r="C14" s="22"/>
      <c r="D14" s="457" t="s">
        <v>148</v>
      </c>
      <c r="E14" s="457"/>
      <c r="F14" s="23"/>
      <c r="G14" s="23"/>
      <c r="H14" s="23"/>
      <c r="I14" s="458">
        <f>IF(CRG!W39="",0,CRG!W39)</f>
        <v>0</v>
      </c>
      <c r="J14" s="459"/>
      <c r="K14" s="459"/>
      <c r="L14" s="36"/>
      <c r="M14" s="455"/>
      <c r="N14" s="455"/>
      <c r="O14" s="455"/>
      <c r="P14" s="455"/>
      <c r="Q14" s="456"/>
      <c r="R14" s="456"/>
      <c r="S14" s="456"/>
      <c r="T14" s="456"/>
    </row>
    <row r="15" spans="2:22" ht="14.65" customHeight="1">
      <c r="C15" s="22"/>
      <c r="D15" s="457" t="s">
        <v>102</v>
      </c>
      <c r="E15" s="457"/>
      <c r="F15" s="457"/>
      <c r="G15" s="24"/>
      <c r="H15" s="24"/>
      <c r="I15" s="460">
        <f>IF(CRG!W40="",0,CRG!W40)</f>
        <v>2500000</v>
      </c>
      <c r="J15" s="461"/>
      <c r="K15" s="461"/>
      <c r="L15" s="37"/>
      <c r="M15" s="462"/>
      <c r="N15" s="455"/>
      <c r="O15" s="455"/>
      <c r="P15" s="455"/>
      <c r="Q15" s="456"/>
      <c r="R15" s="456"/>
      <c r="S15" s="456"/>
      <c r="T15" s="456"/>
    </row>
    <row r="16" spans="2:22" ht="14.25">
      <c r="C16" s="22"/>
      <c r="D16" s="457" t="s">
        <v>104</v>
      </c>
      <c r="E16" s="457"/>
      <c r="F16" s="457"/>
      <c r="G16" s="457"/>
      <c r="H16" s="24"/>
      <c r="I16" s="460">
        <f>IF(CRG!W41="",0,CRG!W41)</f>
        <v>0</v>
      </c>
      <c r="J16" s="461"/>
      <c r="K16" s="461"/>
      <c r="L16" s="37"/>
      <c r="M16" s="455"/>
      <c r="N16" s="455"/>
      <c r="O16" s="455"/>
      <c r="P16" s="455"/>
      <c r="Q16" s="456"/>
      <c r="R16" s="456"/>
      <c r="S16" s="456"/>
      <c r="T16" s="456"/>
    </row>
    <row r="17" spans="3:20" ht="14.25">
      <c r="C17" s="22"/>
      <c r="D17" s="457" t="s">
        <v>106</v>
      </c>
      <c r="E17" s="457"/>
      <c r="F17" s="457"/>
      <c r="G17" s="457"/>
      <c r="H17" s="24"/>
      <c r="I17" s="460">
        <f>IF(CRG!W42="",0,CRG!W42)</f>
        <v>0</v>
      </c>
      <c r="J17" s="461"/>
      <c r="K17" s="461"/>
      <c r="L17" s="37"/>
      <c r="M17" s="455"/>
      <c r="N17" s="455"/>
      <c r="O17" s="455"/>
      <c r="P17" s="455"/>
      <c r="Q17" s="456"/>
      <c r="R17" s="456"/>
      <c r="S17" s="456"/>
      <c r="T17" s="456"/>
    </row>
    <row r="18" spans="3:20" ht="14.25">
      <c r="C18" s="22"/>
      <c r="D18" s="457" t="s">
        <v>109</v>
      </c>
      <c r="E18" s="457"/>
      <c r="F18" s="457"/>
      <c r="G18" s="457"/>
      <c r="H18" s="24"/>
      <c r="I18" s="460">
        <f>IF(CRG!W43="",0,CRG!W43)</f>
        <v>21500000</v>
      </c>
      <c r="J18" s="461"/>
      <c r="K18" s="461"/>
      <c r="L18" s="37"/>
      <c r="M18" s="462"/>
      <c r="N18" s="455"/>
      <c r="O18" s="455"/>
      <c r="P18" s="455"/>
      <c r="Q18" s="456"/>
      <c r="R18" s="456"/>
      <c r="S18" s="456"/>
      <c r="T18" s="456"/>
    </row>
    <row r="19" spans="3:20" ht="14.65" customHeight="1">
      <c r="C19" s="22"/>
      <c r="D19" s="457" t="s">
        <v>115</v>
      </c>
      <c r="E19" s="457"/>
      <c r="F19" s="457"/>
      <c r="G19" s="457"/>
      <c r="H19" s="24"/>
      <c r="I19" s="460">
        <f>IF(CRG!W44="",0,CRG!W44)</f>
        <v>0</v>
      </c>
      <c r="J19" s="461"/>
      <c r="K19" s="461"/>
      <c r="L19" s="37"/>
      <c r="M19" s="462"/>
      <c r="N19" s="455"/>
      <c r="O19" s="455"/>
      <c r="P19" s="455"/>
      <c r="Q19" s="456"/>
      <c r="R19" s="456"/>
      <c r="S19" s="456"/>
      <c r="T19" s="456"/>
    </row>
    <row r="20" spans="3:20" ht="14.65" customHeight="1">
      <c r="C20" s="22"/>
      <c r="D20" s="457" t="s">
        <v>118</v>
      </c>
      <c r="E20" s="457"/>
      <c r="F20" s="457"/>
      <c r="G20" s="457"/>
      <c r="H20" s="24"/>
      <c r="I20" s="460">
        <f>IF(CRG!W45="",0,CRG!W45)</f>
        <v>20000000</v>
      </c>
      <c r="J20" s="461"/>
      <c r="K20" s="461"/>
      <c r="L20" s="37"/>
      <c r="M20" s="462"/>
      <c r="N20" s="455"/>
      <c r="O20" s="455"/>
      <c r="P20" s="455"/>
      <c r="Q20" s="456"/>
      <c r="R20" s="456"/>
      <c r="S20" s="456"/>
      <c r="T20" s="456"/>
    </row>
    <row r="21" spans="3:20" ht="14.65" customHeight="1">
      <c r="C21" s="22"/>
      <c r="D21" s="457" t="s">
        <v>121</v>
      </c>
      <c r="E21" s="457"/>
      <c r="F21" s="457"/>
      <c r="G21" s="457"/>
      <c r="H21" s="24"/>
      <c r="I21" s="460">
        <f>IF(CRG!W46="",0,CRG!W46)</f>
        <v>6000000</v>
      </c>
      <c r="J21" s="461"/>
      <c r="K21" s="461"/>
      <c r="L21" s="37"/>
      <c r="M21" s="462"/>
      <c r="N21" s="455"/>
      <c r="O21" s="455"/>
      <c r="P21" s="455"/>
      <c r="Q21" s="456"/>
      <c r="R21" s="456"/>
      <c r="S21" s="456"/>
      <c r="T21" s="456"/>
    </row>
    <row r="22" spans="3:20" ht="14.25">
      <c r="C22" s="452" t="s">
        <v>149</v>
      </c>
      <c r="D22" s="453"/>
      <c r="E22" s="453"/>
      <c r="F22" s="25"/>
      <c r="G22" s="25"/>
      <c r="H22" s="25"/>
      <c r="I22" s="454">
        <f>IF(CRG!W47="",0,CRG!W47)</f>
        <v>62510000</v>
      </c>
      <c r="J22" s="454"/>
      <c r="K22" s="454"/>
      <c r="L22" s="454"/>
      <c r="M22" s="455"/>
      <c r="N22" s="455"/>
      <c r="O22" s="455"/>
      <c r="P22" s="455"/>
      <c r="Q22" s="456"/>
      <c r="R22" s="456"/>
      <c r="S22" s="456"/>
      <c r="T22" s="456"/>
    </row>
    <row r="23" spans="3:20" ht="14.25">
      <c r="C23" s="452" t="s">
        <v>150</v>
      </c>
      <c r="D23" s="453"/>
      <c r="E23" s="453"/>
      <c r="F23" s="463"/>
      <c r="G23" s="463"/>
      <c r="H23" s="464"/>
      <c r="I23" s="454">
        <f>IF(CRG!W48="",0,CRG!W48)</f>
        <v>16500000</v>
      </c>
      <c r="J23" s="454"/>
      <c r="K23" s="454"/>
      <c r="L23" s="454"/>
      <c r="M23" s="455"/>
      <c r="N23" s="455"/>
      <c r="O23" s="455"/>
      <c r="P23" s="455"/>
      <c r="Q23" s="465"/>
      <c r="R23" s="465"/>
      <c r="S23" s="465"/>
      <c r="T23" s="465"/>
    </row>
    <row r="24" spans="3:20" ht="14.25">
      <c r="C24" s="452" t="s">
        <v>153</v>
      </c>
      <c r="D24" s="453"/>
      <c r="E24" s="453"/>
      <c r="F24" s="453"/>
      <c r="G24" s="453"/>
      <c r="H24" s="25"/>
      <c r="I24" s="454">
        <f>IF(CRG!W51="",0,CRG!W51)</f>
        <v>21000000</v>
      </c>
      <c r="J24" s="454"/>
      <c r="K24" s="454"/>
      <c r="L24" s="454"/>
      <c r="M24" s="455"/>
      <c r="N24" s="455"/>
      <c r="O24" s="455"/>
      <c r="P24" s="455"/>
      <c r="Q24" s="456"/>
      <c r="R24" s="456"/>
      <c r="S24" s="456"/>
      <c r="T24" s="456"/>
    </row>
    <row r="25" spans="3:20" ht="14.25">
      <c r="C25" s="466"/>
      <c r="D25" s="463"/>
      <c r="E25" s="463"/>
      <c r="F25" s="463"/>
      <c r="G25" s="463"/>
      <c r="H25" s="464"/>
      <c r="I25" s="467"/>
      <c r="J25" s="467"/>
      <c r="K25" s="467"/>
      <c r="L25" s="467"/>
      <c r="M25" s="467"/>
      <c r="N25" s="467"/>
      <c r="O25" s="467"/>
      <c r="P25" s="467"/>
      <c r="Q25" s="468"/>
      <c r="R25" s="468"/>
      <c r="S25" s="468"/>
      <c r="T25" s="468"/>
    </row>
    <row r="26" spans="3:20" ht="14.65" customHeight="1">
      <c r="C26" s="469" t="s">
        <v>154</v>
      </c>
      <c r="D26" s="470"/>
      <c r="E26" s="470"/>
      <c r="F26" s="470"/>
      <c r="G26" s="470"/>
      <c r="H26" s="471"/>
      <c r="I26" s="450" t="s">
        <v>360</v>
      </c>
      <c r="J26" s="450"/>
      <c r="K26" s="450"/>
      <c r="L26" s="450"/>
      <c r="M26" s="450" t="s">
        <v>361</v>
      </c>
      <c r="N26" s="450"/>
      <c r="O26" s="450"/>
      <c r="P26" s="450"/>
      <c r="Q26" s="450" t="s">
        <v>362</v>
      </c>
      <c r="R26" s="450"/>
      <c r="S26" s="450"/>
      <c r="T26" s="451"/>
    </row>
    <row r="27" spans="3:20" ht="14.25">
      <c r="C27" s="452" t="s">
        <v>155</v>
      </c>
      <c r="D27" s="453"/>
      <c r="E27" s="453"/>
      <c r="F27" s="453"/>
      <c r="G27" s="453"/>
      <c r="H27" s="25"/>
      <c r="I27" s="454">
        <f>I32-(I28+I29+I30)</f>
        <v>150010000</v>
      </c>
      <c r="J27" s="454"/>
      <c r="K27" s="454"/>
      <c r="L27" s="454"/>
      <c r="M27" s="455"/>
      <c r="N27" s="455"/>
      <c r="O27" s="455"/>
      <c r="P27" s="455"/>
      <c r="Q27" s="456"/>
      <c r="R27" s="456"/>
      <c r="S27" s="456"/>
      <c r="T27" s="456"/>
    </row>
    <row r="28" spans="3:20" ht="14.25">
      <c r="C28" s="452" t="s">
        <v>156</v>
      </c>
      <c r="D28" s="453"/>
      <c r="E28" s="453"/>
      <c r="F28" s="453"/>
      <c r="G28" s="453"/>
      <c r="H28" s="25"/>
      <c r="I28" s="454">
        <f>IF(CRG!W55="",0,CRG!W55)</f>
        <v>0</v>
      </c>
      <c r="J28" s="454"/>
      <c r="K28" s="454"/>
      <c r="L28" s="454"/>
      <c r="M28" s="455"/>
      <c r="N28" s="455"/>
      <c r="O28" s="455"/>
      <c r="P28" s="455"/>
      <c r="Q28" s="456"/>
      <c r="R28" s="456"/>
      <c r="S28" s="456"/>
      <c r="T28" s="456"/>
    </row>
    <row r="29" spans="3:20" ht="14.25">
      <c r="C29" s="452" t="s">
        <v>157</v>
      </c>
      <c r="D29" s="453"/>
      <c r="E29" s="453"/>
      <c r="F29" s="453"/>
      <c r="G29" s="453"/>
      <c r="H29" s="25"/>
      <c r="I29" s="454">
        <f>IF(CRG!W56="",0,CRG!W56)</f>
        <v>0</v>
      </c>
      <c r="J29" s="454"/>
      <c r="K29" s="454"/>
      <c r="L29" s="454"/>
      <c r="M29" s="455"/>
      <c r="N29" s="455"/>
      <c r="O29" s="455"/>
      <c r="P29" s="455"/>
      <c r="Q29" s="456"/>
      <c r="R29" s="456"/>
      <c r="S29" s="456"/>
      <c r="T29" s="456"/>
    </row>
    <row r="30" spans="3:20" ht="14.25">
      <c r="C30" s="452" t="s">
        <v>158</v>
      </c>
      <c r="D30" s="453"/>
      <c r="E30" s="453"/>
      <c r="F30" s="453"/>
      <c r="G30" s="453"/>
      <c r="H30" s="25"/>
      <c r="I30" s="454">
        <f>IF(CRG!W57="",0,CRG!W57)</f>
        <v>0</v>
      </c>
      <c r="J30" s="454"/>
      <c r="K30" s="454"/>
      <c r="L30" s="454"/>
      <c r="M30" s="455"/>
      <c r="N30" s="455"/>
      <c r="O30" s="455"/>
      <c r="P30" s="455"/>
      <c r="Q30" s="456"/>
      <c r="R30" s="456"/>
      <c r="S30" s="456"/>
      <c r="T30" s="456"/>
    </row>
    <row r="31" spans="3:20" ht="6" customHeight="1">
      <c r="C31" s="26"/>
      <c r="D31" s="26"/>
      <c r="E31" s="26"/>
      <c r="F31" s="26"/>
      <c r="G31" s="26"/>
      <c r="H31" s="27"/>
      <c r="I31" s="38"/>
      <c r="J31" s="38"/>
      <c r="K31" s="38"/>
      <c r="L31" s="38"/>
      <c r="M31" s="38"/>
      <c r="N31" s="38"/>
      <c r="O31" s="38"/>
      <c r="P31" s="38"/>
      <c r="Q31" s="39"/>
      <c r="R31" s="39"/>
      <c r="S31" s="39"/>
      <c r="T31" s="39"/>
    </row>
    <row r="32" spans="3:20" ht="15">
      <c r="C32" s="472" t="s">
        <v>363</v>
      </c>
      <c r="D32" s="473"/>
      <c r="E32" s="473"/>
      <c r="F32" s="473"/>
      <c r="G32" s="473"/>
      <c r="H32" s="28"/>
      <c r="I32" s="474">
        <f>SUM(I13+I22+I23+I24)</f>
        <v>150010000</v>
      </c>
      <c r="J32" s="474"/>
      <c r="K32" s="474"/>
      <c r="L32" s="474"/>
      <c r="M32" s="475"/>
      <c r="N32" s="476"/>
      <c r="O32" s="476"/>
      <c r="P32" s="476"/>
      <c r="Q32" s="475"/>
      <c r="R32" s="476"/>
      <c r="S32" s="476"/>
      <c r="T32" s="477"/>
    </row>
    <row r="33" spans="2:25" ht="14.25">
      <c r="C33" s="478" t="s">
        <v>224</v>
      </c>
      <c r="D33" s="479"/>
      <c r="E33" s="479"/>
      <c r="F33" s="479"/>
      <c r="G33" s="479"/>
      <c r="H33" s="480"/>
      <c r="I33" s="454">
        <f>(I27+I28)-I13</f>
        <v>100010000</v>
      </c>
      <c r="J33" s="454"/>
      <c r="K33" s="454"/>
      <c r="L33" s="454"/>
      <c r="M33" s="455"/>
      <c r="N33" s="455"/>
      <c r="O33" s="455"/>
      <c r="P33" s="455"/>
      <c r="Q33" s="455"/>
      <c r="R33" s="455"/>
      <c r="S33" s="455"/>
      <c r="T33" s="455"/>
    </row>
    <row r="34" spans="2:25" ht="14.25">
      <c r="C34" s="478" t="s">
        <v>364</v>
      </c>
      <c r="D34" s="479"/>
      <c r="E34" s="479"/>
      <c r="F34" s="479"/>
      <c r="G34" s="479"/>
      <c r="H34" s="480"/>
      <c r="I34" s="454">
        <f>I33-I24</f>
        <v>79010000</v>
      </c>
      <c r="J34" s="454"/>
      <c r="K34" s="454"/>
      <c r="L34" s="454"/>
      <c r="M34" s="455"/>
      <c r="N34" s="455"/>
      <c r="O34" s="455"/>
      <c r="P34" s="455"/>
      <c r="Q34" s="455"/>
      <c r="R34" s="455"/>
      <c r="S34" s="455"/>
      <c r="T34" s="455"/>
    </row>
    <row r="36" spans="2:25">
      <c r="S36" s="446" t="s">
        <v>355</v>
      </c>
      <c r="T36" s="446"/>
    </row>
    <row r="37" spans="2:25" ht="15">
      <c r="B37" s="18" t="s">
        <v>253</v>
      </c>
      <c r="C37" s="481" t="s">
        <v>365</v>
      </c>
      <c r="D37" s="482"/>
      <c r="E37" s="482"/>
      <c r="F37" s="482"/>
      <c r="G37" s="20"/>
      <c r="H37" s="20"/>
      <c r="I37" s="447" t="s">
        <v>357</v>
      </c>
      <c r="J37" s="447"/>
      <c r="K37" s="447"/>
      <c r="L37" s="447"/>
      <c r="M37" s="447" t="s">
        <v>358</v>
      </c>
      <c r="N37" s="447"/>
      <c r="O37" s="447"/>
      <c r="P37" s="447"/>
      <c r="Q37" s="447" t="s">
        <v>366</v>
      </c>
      <c r="R37" s="447"/>
      <c r="S37" s="447"/>
      <c r="T37" s="483"/>
    </row>
    <row r="38" spans="2:25" ht="15">
      <c r="C38" s="484"/>
      <c r="D38" s="485"/>
      <c r="E38" s="485"/>
      <c r="F38" s="485"/>
      <c r="G38" s="485"/>
      <c r="H38" s="485"/>
      <c r="I38" s="450" t="s">
        <v>360</v>
      </c>
      <c r="J38" s="450"/>
      <c r="K38" s="450"/>
      <c r="L38" s="450"/>
      <c r="M38" s="450" t="s">
        <v>361</v>
      </c>
      <c r="N38" s="450"/>
      <c r="O38" s="450"/>
      <c r="P38" s="450"/>
      <c r="Q38" s="450" t="s">
        <v>367</v>
      </c>
      <c r="R38" s="450"/>
      <c r="S38" s="450"/>
      <c r="T38" s="450"/>
    </row>
    <row r="39" spans="2:25" ht="14.65" customHeight="1">
      <c r="C39" s="486" t="s">
        <v>368</v>
      </c>
      <c r="D39" s="487"/>
      <c r="E39" s="487"/>
      <c r="F39" s="21"/>
      <c r="G39" s="488" t="s">
        <v>40</v>
      </c>
      <c r="H39" s="489"/>
      <c r="I39" s="490">
        <f>IF(CRG!Y16="","",IF('Collecte des données'!$I$12="Bon de commande",CRG!Y16,(CRG!Y16*CRG!AC9)))</f>
        <v>441000000</v>
      </c>
      <c r="J39" s="490"/>
      <c r="K39" s="490"/>
      <c r="L39" s="490"/>
      <c r="M39" s="491"/>
      <c r="N39" s="491"/>
      <c r="O39" s="491"/>
      <c r="P39" s="491"/>
      <c r="Q39" s="491"/>
      <c r="R39" s="491"/>
      <c r="S39" s="491"/>
      <c r="T39" s="491"/>
    </row>
    <row r="40" spans="2:25" ht="16.149999999999999" customHeight="1">
      <c r="C40" s="492" t="s">
        <v>369</v>
      </c>
      <c r="D40" s="457"/>
      <c r="E40" s="457"/>
      <c r="F40" s="457"/>
      <c r="G40" s="457"/>
      <c r="H40" s="29"/>
      <c r="I40" s="490">
        <f>IF(I39="","",(I39-I41))</f>
        <v>288900000</v>
      </c>
      <c r="J40" s="490"/>
      <c r="K40" s="490"/>
      <c r="L40" s="490"/>
      <c r="M40" s="491"/>
      <c r="N40" s="491"/>
      <c r="O40" s="491"/>
      <c r="P40" s="491"/>
      <c r="Q40" s="491"/>
      <c r="R40" s="491"/>
      <c r="S40" s="491"/>
      <c r="T40" s="491"/>
    </row>
    <row r="41" spans="2:25" ht="14.65" customHeight="1">
      <c r="C41" s="493" t="s">
        <v>370</v>
      </c>
      <c r="D41" s="494"/>
      <c r="E41" s="494"/>
      <c r="F41" s="30">
        <f>IF(CRG!AA5="","",CRG!AA5)</f>
        <v>0.3448979591836735</v>
      </c>
      <c r="G41" s="488" t="s">
        <v>17</v>
      </c>
      <c r="H41" s="489"/>
      <c r="I41" s="495">
        <f>IF(F41="","",(CRG!W22*CRG!AC9))</f>
        <v>152100000</v>
      </c>
      <c r="J41" s="495"/>
      <c r="K41" s="495"/>
      <c r="L41" s="495"/>
      <c r="M41" s="496">
        <f>M39-M40</f>
        <v>0</v>
      </c>
      <c r="N41" s="496"/>
      <c r="O41" s="496"/>
      <c r="P41" s="496"/>
      <c r="Q41" s="496">
        <f>Q39-Q40</f>
        <v>0</v>
      </c>
      <c r="R41" s="496"/>
      <c r="S41" s="496"/>
      <c r="T41" s="496"/>
    </row>
    <row r="42" spans="2:25" ht="14.25">
      <c r="C42" s="588" t="s">
        <v>371</v>
      </c>
      <c r="D42" s="492" t="s">
        <v>128</v>
      </c>
      <c r="E42" s="457"/>
      <c r="F42" s="457"/>
      <c r="G42" s="457"/>
      <c r="H42" s="497"/>
      <c r="I42" s="490">
        <f>IF(CRG!W24="",0,IF('Collecte des données'!$I$12="Bon de commande",CRG!W24,(CRG!W24*CRG!$AC$9)))</f>
        <v>520000</v>
      </c>
      <c r="J42" s="490"/>
      <c r="K42" s="490"/>
      <c r="L42" s="490"/>
      <c r="M42" s="491"/>
      <c r="N42" s="491"/>
      <c r="O42" s="491"/>
      <c r="P42" s="491"/>
      <c r="Q42" s="491"/>
      <c r="R42" s="491"/>
      <c r="S42" s="491"/>
      <c r="T42" s="491"/>
    </row>
    <row r="43" spans="2:25" ht="14.25">
      <c r="C43" s="589"/>
      <c r="D43" s="492" t="s">
        <v>130</v>
      </c>
      <c r="E43" s="457"/>
      <c r="F43" s="457"/>
      <c r="G43" s="457"/>
      <c r="H43" s="497"/>
      <c r="I43" s="490">
        <f>IF(CRG!W25="",0,IF('Collecte des données'!$I$12="Bon de commande",CRG!W25,(CRG!W25*CRG!$AC$9)))</f>
        <v>0</v>
      </c>
      <c r="J43" s="490"/>
      <c r="K43" s="490"/>
      <c r="L43" s="490"/>
      <c r="M43" s="491"/>
      <c r="N43" s="491"/>
      <c r="O43" s="491"/>
      <c r="P43" s="491"/>
      <c r="Q43" s="491"/>
      <c r="R43" s="491"/>
      <c r="S43" s="491"/>
      <c r="T43" s="491"/>
    </row>
    <row r="44" spans="2:25" ht="14.65" customHeight="1">
      <c r="C44" s="589"/>
      <c r="D44" s="492" t="s">
        <v>132</v>
      </c>
      <c r="E44" s="457"/>
      <c r="F44" s="457"/>
      <c r="G44" s="457"/>
      <c r="H44" s="497"/>
      <c r="I44" s="490">
        <f>IF(CRG!W26="",0,IF('Collecte des données'!$I$12="Bon de commande",CRG!W26,(CRG!W26*CRG!$AC$9)))</f>
        <v>1300000</v>
      </c>
      <c r="J44" s="490"/>
      <c r="K44" s="490"/>
      <c r="L44" s="490"/>
      <c r="M44" s="491"/>
      <c r="N44" s="491"/>
      <c r="O44" s="491"/>
      <c r="P44" s="491"/>
      <c r="Q44" s="491"/>
      <c r="R44" s="491"/>
      <c r="S44" s="491"/>
      <c r="T44" s="491"/>
    </row>
    <row r="45" spans="2:25" ht="14.65" customHeight="1">
      <c r="C45" s="589"/>
      <c r="D45" s="492" t="s">
        <v>134</v>
      </c>
      <c r="E45" s="457"/>
      <c r="F45" s="457"/>
      <c r="G45" s="457"/>
      <c r="H45" s="497"/>
      <c r="I45" s="490">
        <f>IF(CRG!W27="",0,IF('Collecte des données'!$I$12="Bon de commande",CRG!W27,(CRG!W27*CRG!$AC$9)))</f>
        <v>6000000</v>
      </c>
      <c r="J45" s="490"/>
      <c r="K45" s="490"/>
      <c r="L45" s="490"/>
      <c r="M45" s="491"/>
      <c r="N45" s="491"/>
      <c r="O45" s="491"/>
      <c r="P45" s="491"/>
      <c r="Q45" s="491"/>
      <c r="R45" s="491"/>
      <c r="S45" s="491"/>
      <c r="T45" s="491"/>
    </row>
    <row r="46" spans="2:25" ht="14.65" customHeight="1">
      <c r="C46" s="589"/>
      <c r="D46" s="492" t="s">
        <v>135</v>
      </c>
      <c r="E46" s="457"/>
      <c r="F46" s="457"/>
      <c r="G46" s="457"/>
      <c r="H46" s="29"/>
      <c r="I46" s="490">
        <f>IF(CRG!W28="",0,IF('Collecte des données'!$I$12="Bon de commande",CRG!W28,(CRG!W28*CRG!$AC$9)))</f>
        <v>1090000</v>
      </c>
      <c r="J46" s="490"/>
      <c r="K46" s="490"/>
      <c r="L46" s="490"/>
      <c r="M46" s="491"/>
      <c r="N46" s="491"/>
      <c r="O46" s="491"/>
      <c r="P46" s="491"/>
      <c r="Q46" s="491"/>
      <c r="R46" s="491"/>
      <c r="S46" s="491"/>
      <c r="T46" s="491"/>
    </row>
    <row r="47" spans="2:25" ht="14.65" customHeight="1">
      <c r="C47" s="589"/>
      <c r="D47" s="492" t="s">
        <v>136</v>
      </c>
      <c r="E47" s="457"/>
      <c r="F47" s="457"/>
      <c r="G47" s="457"/>
      <c r="H47" s="29"/>
      <c r="I47" s="490">
        <f>IF(CRG!W29="",0,IF('Collecte des données'!$I$12="Bon de commande",CRG!W29,(CRG!W29*CRG!$AC$9)))</f>
        <v>0</v>
      </c>
      <c r="J47" s="490"/>
      <c r="K47" s="490"/>
      <c r="L47" s="490"/>
      <c r="M47" s="491"/>
      <c r="N47" s="491"/>
      <c r="O47" s="491"/>
      <c r="P47" s="491"/>
      <c r="Q47" s="491"/>
      <c r="R47" s="491"/>
      <c r="S47" s="491"/>
      <c r="T47" s="491"/>
      <c r="W47" s="44"/>
      <c r="X47" s="44"/>
      <c r="Y47" s="44"/>
    </row>
    <row r="48" spans="2:25" ht="14.65" customHeight="1">
      <c r="C48" s="589"/>
      <c r="D48" s="492" t="s">
        <v>138</v>
      </c>
      <c r="E48" s="457"/>
      <c r="F48" s="457"/>
      <c r="G48" s="457"/>
      <c r="H48" s="29"/>
      <c r="I48" s="490">
        <f>IF(CRG!W30="",0,IF('Collecte des données'!$I$12="Bon de commande",CRG!W30,(CRG!W30*CRG!$AC$9)))</f>
        <v>200000</v>
      </c>
      <c r="J48" s="490"/>
      <c r="K48" s="490"/>
      <c r="L48" s="490"/>
      <c r="M48" s="491"/>
      <c r="N48" s="491"/>
      <c r="O48" s="491"/>
      <c r="P48" s="491"/>
      <c r="Q48" s="491"/>
      <c r="R48" s="491"/>
      <c r="S48" s="491"/>
      <c r="T48" s="491"/>
    </row>
    <row r="49" spans="3:20" ht="14.65" customHeight="1">
      <c r="C49" s="589"/>
      <c r="D49" s="492" t="s">
        <v>140</v>
      </c>
      <c r="E49" s="457"/>
      <c r="F49" s="457"/>
      <c r="G49" s="457"/>
      <c r="H49" s="497"/>
      <c r="I49" s="490">
        <f>IF(CRG!W31="",0,IF('Collecte des données'!$I$12="Bon de commande",CRG!W31,(CRG!W31*CRG!$AC$9)))</f>
        <v>720000</v>
      </c>
      <c r="J49" s="490"/>
      <c r="K49" s="490"/>
      <c r="L49" s="490"/>
      <c r="M49" s="491"/>
      <c r="N49" s="491"/>
      <c r="O49" s="491"/>
      <c r="P49" s="491"/>
      <c r="Q49" s="491"/>
      <c r="R49" s="491"/>
      <c r="S49" s="491"/>
      <c r="T49" s="491"/>
    </row>
    <row r="50" spans="3:20" ht="14.25">
      <c r="C50" s="589"/>
      <c r="D50" s="492" t="s">
        <v>141</v>
      </c>
      <c r="E50" s="457"/>
      <c r="F50" s="457"/>
      <c r="G50" s="457"/>
      <c r="H50" s="29"/>
      <c r="I50" s="490">
        <f>IF(CRG!W32="",0,IF('Collecte des données'!$I$12="Bon de commande",CRG!W32,(CRG!W32*CRG!$AC$9)))</f>
        <v>0</v>
      </c>
      <c r="J50" s="490"/>
      <c r="K50" s="490"/>
      <c r="L50" s="490"/>
      <c r="M50" s="491"/>
      <c r="N50" s="491"/>
      <c r="O50" s="491"/>
      <c r="P50" s="491"/>
      <c r="Q50" s="491"/>
      <c r="R50" s="491"/>
      <c r="S50" s="491"/>
      <c r="T50" s="491"/>
    </row>
    <row r="51" spans="3:20" ht="14.65" customHeight="1">
      <c r="C51" s="589"/>
      <c r="D51" s="492" t="s">
        <v>142</v>
      </c>
      <c r="E51" s="457"/>
      <c r="F51" s="457"/>
      <c r="G51" s="457"/>
      <c r="H51" s="31"/>
      <c r="I51" s="490">
        <f>IF(CRG!W33="",0,IF('Collecte des données'!$I$12="Bon de commande",CRG!W33,(CRG!W33*CRG!$AC$9)))</f>
        <v>85000</v>
      </c>
      <c r="J51" s="490"/>
      <c r="K51" s="490"/>
      <c r="L51" s="490"/>
      <c r="M51" s="491"/>
      <c r="N51" s="491"/>
      <c r="O51" s="491"/>
      <c r="P51" s="491"/>
      <c r="Q51" s="491"/>
      <c r="R51" s="491"/>
      <c r="S51" s="491"/>
      <c r="T51" s="491"/>
    </row>
    <row r="52" spans="3:20" ht="14.65" customHeight="1">
      <c r="C52" s="589"/>
      <c r="D52" s="492" t="s">
        <v>143</v>
      </c>
      <c r="E52" s="457"/>
      <c r="F52" s="457"/>
      <c r="G52" s="457"/>
      <c r="H52" s="31"/>
      <c r="I52" s="490">
        <f>IF(CRG!W34="",0,IF('Collecte des données'!$I$12="Bon de commande",CRG!W34,(CRG!W34*CRG!$AC$9)))</f>
        <v>1800000</v>
      </c>
      <c r="J52" s="490"/>
      <c r="K52" s="490"/>
      <c r="L52" s="490"/>
      <c r="M52" s="491"/>
      <c r="N52" s="491"/>
      <c r="O52" s="491"/>
      <c r="P52" s="491"/>
      <c r="Q52" s="491"/>
      <c r="R52" s="491"/>
      <c r="S52" s="491"/>
      <c r="T52" s="491"/>
    </row>
    <row r="53" spans="3:20" ht="14.65" customHeight="1">
      <c r="C53" s="589"/>
      <c r="D53" s="492" t="s">
        <v>144</v>
      </c>
      <c r="E53" s="457"/>
      <c r="F53" s="457"/>
      <c r="G53" s="457"/>
      <c r="H53" s="31"/>
      <c r="I53" s="490">
        <f>IF(CRG!W35="",0,IF('Collecte des données'!$I$12="Bon de commande",CRG!W35,(CRG!W35*CRG!$AC$9)))</f>
        <v>0</v>
      </c>
      <c r="J53" s="490"/>
      <c r="K53" s="490"/>
      <c r="L53" s="490"/>
      <c r="M53" s="491"/>
      <c r="N53" s="491"/>
      <c r="O53" s="491"/>
      <c r="P53" s="491"/>
      <c r="Q53" s="491"/>
      <c r="R53" s="491"/>
      <c r="S53" s="491"/>
      <c r="T53" s="491"/>
    </row>
    <row r="54" spans="3:20" ht="14.65" customHeight="1">
      <c r="C54" s="590"/>
      <c r="D54" s="492" t="s">
        <v>145</v>
      </c>
      <c r="E54" s="457"/>
      <c r="F54" s="457"/>
      <c r="G54" s="457"/>
      <c r="H54" s="31"/>
      <c r="I54" s="490">
        <f>IF(CRG!W36="",0,IF('Collecte des données'!$I$12="Bon de commande",CRG!W36,(CRG!W36*CRG!$AC$9)))</f>
        <v>0</v>
      </c>
      <c r="J54" s="490"/>
      <c r="K54" s="490"/>
      <c r="L54" s="490"/>
      <c r="M54" s="491"/>
      <c r="N54" s="491"/>
      <c r="O54" s="491"/>
      <c r="P54" s="491"/>
      <c r="Q54" s="491"/>
      <c r="R54" s="491"/>
      <c r="S54" s="491"/>
      <c r="T54" s="491"/>
    </row>
    <row r="55" spans="3:20" ht="14.65" customHeight="1">
      <c r="C55" s="493" t="s">
        <v>372</v>
      </c>
      <c r="D55" s="494"/>
      <c r="E55" s="494"/>
      <c r="F55" s="494"/>
      <c r="G55" s="494"/>
      <c r="H55" s="32"/>
      <c r="I55" s="495">
        <f>SUM(I42:L54)</f>
        <v>11715000</v>
      </c>
      <c r="J55" s="495"/>
      <c r="K55" s="495"/>
      <c r="L55" s="495"/>
      <c r="M55" s="495">
        <f t="shared" ref="M55" si="0">SUM(M42:P54)</f>
        <v>0</v>
      </c>
      <c r="N55" s="495"/>
      <c r="O55" s="495"/>
      <c r="P55" s="495"/>
      <c r="Q55" s="495">
        <f t="shared" ref="Q55" si="1">SUM(Q42:T54)</f>
        <v>0</v>
      </c>
      <c r="R55" s="495"/>
      <c r="S55" s="495"/>
      <c r="T55" s="495"/>
    </row>
    <row r="56" spans="3:20" ht="14.65" customHeight="1">
      <c r="C56" s="33"/>
      <c r="D56" s="498" t="s">
        <v>373</v>
      </c>
      <c r="E56" s="498"/>
      <c r="F56" s="498"/>
      <c r="G56" s="498"/>
      <c r="H56" s="32"/>
      <c r="I56" s="490">
        <f>IF('Collecte des données'!$I$12="Bon de commande",(CRG!W37+CRG!W38),((CRG!W37+CRG!W38)*CRG!AC9))</f>
        <v>614583.33333333326</v>
      </c>
      <c r="J56" s="490"/>
      <c r="K56" s="490"/>
      <c r="L56" s="490"/>
      <c r="M56" s="491"/>
      <c r="N56" s="491"/>
      <c r="O56" s="491"/>
      <c r="P56" s="491"/>
      <c r="Q56" s="499"/>
      <c r="R56" s="499"/>
      <c r="S56" s="499"/>
      <c r="T56" s="499"/>
    </row>
    <row r="57" spans="3:20" ht="15">
      <c r="C57" s="493" t="s">
        <v>374</v>
      </c>
      <c r="D57" s="494"/>
      <c r="E57" s="494"/>
      <c r="F57" s="494"/>
      <c r="G57" s="494"/>
      <c r="H57" s="25"/>
      <c r="I57" s="490">
        <f>I41-(I55+I56)</f>
        <v>139770416.66666666</v>
      </c>
      <c r="J57" s="490"/>
      <c r="K57" s="490"/>
      <c r="L57" s="490"/>
      <c r="M57" s="500">
        <f>M41-(M55+M56)</f>
        <v>0</v>
      </c>
      <c r="N57" s="501"/>
      <c r="O57" s="501"/>
      <c r="P57" s="502"/>
      <c r="Q57" s="500">
        <f>Q41-(Q55+Q56)</f>
        <v>0</v>
      </c>
      <c r="R57" s="501"/>
      <c r="S57" s="501"/>
      <c r="T57" s="502"/>
    </row>
    <row r="58" spans="3:20" ht="7.5" customHeight="1">
      <c r="C58" s="466"/>
      <c r="D58" s="463"/>
      <c r="E58" s="463"/>
      <c r="F58" s="463"/>
      <c r="G58" s="463"/>
      <c r="H58" s="464"/>
      <c r="I58" s="467"/>
      <c r="J58" s="467"/>
      <c r="K58" s="467"/>
      <c r="L58" s="467"/>
      <c r="M58" s="503"/>
      <c r="N58" s="503"/>
      <c r="O58" s="503"/>
      <c r="P58" s="503"/>
      <c r="Q58" s="504"/>
      <c r="R58" s="504"/>
      <c r="S58" s="504"/>
      <c r="T58" s="504"/>
    </row>
    <row r="59" spans="3:20" ht="14.65" customHeight="1">
      <c r="C59" s="493" t="str">
        <f>IF(I59&lt;0,"MANQUANT DE TRÉSORERIE","Cash-flow (Excedent de trésorerie)")</f>
        <v>Cash-flow (Excedent de trésorerie)</v>
      </c>
      <c r="D59" s="494"/>
      <c r="E59" s="494"/>
      <c r="F59" s="494"/>
      <c r="G59" s="494"/>
      <c r="H59" s="505"/>
      <c r="I59" s="490">
        <f>I57+I56</f>
        <v>140385000</v>
      </c>
      <c r="J59" s="490"/>
      <c r="K59" s="490"/>
      <c r="L59" s="490"/>
      <c r="M59" s="500">
        <f>M57+M56</f>
        <v>0</v>
      </c>
      <c r="N59" s="501"/>
      <c r="O59" s="501"/>
      <c r="P59" s="502"/>
      <c r="Q59" s="500">
        <f>Q57+Q56</f>
        <v>0</v>
      </c>
      <c r="R59" s="501"/>
      <c r="S59" s="501"/>
      <c r="T59" s="502"/>
    </row>
    <row r="60" spans="3:20" ht="5.65" customHeight="1">
      <c r="C60" s="34"/>
      <c r="D60" s="25"/>
      <c r="E60" s="25"/>
      <c r="F60" s="25"/>
      <c r="G60" s="25"/>
      <c r="H60" s="31"/>
      <c r="I60" s="467"/>
      <c r="J60" s="467"/>
      <c r="K60" s="467"/>
      <c r="L60" s="467"/>
      <c r="M60" s="503"/>
      <c r="N60" s="503"/>
      <c r="O60" s="503"/>
      <c r="P60" s="503"/>
      <c r="Q60" s="504"/>
      <c r="R60" s="504"/>
      <c r="S60" s="504"/>
      <c r="T60" s="504"/>
    </row>
    <row r="61" spans="3:20" ht="14.25">
      <c r="C61" s="452" t="s">
        <v>375</v>
      </c>
      <c r="D61" s="453"/>
      <c r="E61" s="453"/>
      <c r="F61" s="453"/>
      <c r="G61" s="453"/>
      <c r="H61" s="31"/>
      <c r="I61" s="506">
        <f>IF(CRG!W60="",0,CRG!W60)</f>
        <v>2500000</v>
      </c>
      <c r="J61" s="507"/>
      <c r="K61" s="507"/>
      <c r="L61" s="508"/>
      <c r="M61" s="503"/>
      <c r="N61" s="503"/>
      <c r="O61" s="503"/>
      <c r="P61" s="503"/>
      <c r="Q61" s="503"/>
      <c r="R61" s="503"/>
      <c r="S61" s="503"/>
      <c r="T61" s="503"/>
    </row>
    <row r="62" spans="3:20" ht="6" customHeight="1">
      <c r="C62" s="509"/>
      <c r="D62" s="510"/>
      <c r="E62" s="510"/>
      <c r="F62" s="510"/>
      <c r="G62" s="510"/>
      <c r="H62" s="35"/>
      <c r="I62" s="511"/>
      <c r="J62" s="512"/>
      <c r="K62" s="512"/>
      <c r="L62" s="513"/>
      <c r="M62" s="514"/>
      <c r="N62" s="514"/>
      <c r="O62" s="514"/>
      <c r="P62" s="514"/>
      <c r="Q62" s="514"/>
      <c r="R62" s="514"/>
      <c r="S62" s="514"/>
      <c r="T62" s="514"/>
    </row>
    <row r="63" spans="3:20" ht="15" customHeight="1">
      <c r="C63" s="515" t="s">
        <v>376</v>
      </c>
      <c r="D63" s="516"/>
      <c r="E63" s="516"/>
      <c r="F63" s="516"/>
      <c r="G63" s="516"/>
      <c r="H63" s="517"/>
      <c r="I63" s="518">
        <f>I59+I61</f>
        <v>142885000</v>
      </c>
      <c r="J63" s="519"/>
      <c r="K63" s="519"/>
      <c r="L63" s="520"/>
      <c r="M63" s="521">
        <f t="shared" ref="M63" si="2">M59+M61</f>
        <v>0</v>
      </c>
      <c r="N63" s="522"/>
      <c r="O63" s="522"/>
      <c r="P63" s="523"/>
      <c r="Q63" s="521">
        <f t="shared" ref="Q63" si="3">Q59+Q61</f>
        <v>0</v>
      </c>
      <c r="R63" s="522"/>
      <c r="S63" s="522"/>
      <c r="T63" s="523"/>
    </row>
    <row r="64" spans="3:20" ht="4.9000000000000004" customHeight="1"/>
    <row r="65" spans="2:21">
      <c r="C65" s="524" t="str">
        <f>IFERROR(CRG!V89,"")</f>
        <v>La capacité de remboursement déclarée par le membre semble réaliste. Privilégiez cette CDR pour le calcul des ratios.</v>
      </c>
      <c r="D65" s="524"/>
      <c r="E65" s="524"/>
      <c r="F65" s="524"/>
      <c r="G65" s="524"/>
      <c r="H65" s="524"/>
      <c r="I65" s="524"/>
      <c r="J65" s="524"/>
      <c r="K65" s="524"/>
      <c r="L65" s="524"/>
      <c r="M65" s="524"/>
      <c r="N65" s="524"/>
      <c r="O65" s="524"/>
      <c r="P65" s="524"/>
      <c r="Q65" s="524"/>
      <c r="R65" s="524"/>
      <c r="S65" s="524"/>
      <c r="T65" s="524"/>
    </row>
    <row r="67" spans="2:21">
      <c r="S67" s="446" t="s">
        <v>355</v>
      </c>
      <c r="T67" s="446"/>
    </row>
    <row r="68" spans="2:21">
      <c r="B68" s="18" t="s">
        <v>211</v>
      </c>
      <c r="C68" s="46" t="s">
        <v>377</v>
      </c>
      <c r="D68" s="41"/>
      <c r="E68" s="41"/>
      <c r="F68" s="41"/>
      <c r="G68" s="41"/>
      <c r="H68" s="41"/>
      <c r="I68" s="41"/>
      <c r="J68" s="41"/>
      <c r="K68" s="41"/>
      <c r="L68" s="41"/>
      <c r="M68" s="41"/>
      <c r="N68" s="41"/>
      <c r="O68" s="41"/>
      <c r="P68" s="41"/>
      <c r="Q68" s="41"/>
      <c r="R68" s="41"/>
      <c r="S68" s="41"/>
      <c r="T68" s="42"/>
    </row>
    <row r="69" spans="2:21" ht="14.25">
      <c r="B69" s="18"/>
      <c r="C69" s="525"/>
      <c r="D69" s="526"/>
      <c r="E69" s="526"/>
      <c r="F69" s="526"/>
      <c r="G69" s="526"/>
      <c r="H69" s="526"/>
      <c r="I69" s="526"/>
      <c r="J69" s="526"/>
      <c r="K69" s="526"/>
      <c r="L69" s="526"/>
      <c r="M69" s="450" t="s">
        <v>378</v>
      </c>
      <c r="N69" s="450"/>
      <c r="O69" s="450"/>
      <c r="P69" s="450"/>
      <c r="Q69" s="450" t="s">
        <v>379</v>
      </c>
      <c r="R69" s="450"/>
      <c r="S69" s="450"/>
      <c r="T69" s="451"/>
    </row>
    <row r="70" spans="2:21" ht="14.65" customHeight="1">
      <c r="C70" s="492" t="s">
        <v>380</v>
      </c>
      <c r="D70" s="457"/>
      <c r="E70" s="457"/>
      <c r="F70" s="457"/>
      <c r="G70" s="457"/>
      <c r="H70" s="457"/>
      <c r="I70" s="457"/>
      <c r="J70" s="457"/>
      <c r="K70" s="457"/>
      <c r="L70" s="497"/>
      <c r="M70" s="527" t="str">
        <f>IF('Collecte des données'!I14="","",CRG!W2)</f>
        <v/>
      </c>
      <c r="N70" s="528"/>
      <c r="O70" s="528"/>
      <c r="P70" s="529"/>
      <c r="Q70" s="530"/>
      <c r="R70" s="531"/>
      <c r="S70" s="531"/>
      <c r="T70" s="532"/>
    </row>
    <row r="71" spans="2:21" ht="14.65" customHeight="1">
      <c r="C71" s="492" t="s">
        <v>381</v>
      </c>
      <c r="D71" s="457"/>
      <c r="E71" s="457"/>
      <c r="F71" s="457"/>
      <c r="G71" s="457"/>
      <c r="H71" s="457"/>
      <c r="I71" s="457"/>
      <c r="J71" s="457"/>
      <c r="K71" s="457"/>
      <c r="L71" s="497"/>
      <c r="M71" s="527" t="str">
        <f>IF('Collecte des données'!I15="","",CRG!W3)</f>
        <v/>
      </c>
      <c r="N71" s="528"/>
      <c r="O71" s="528"/>
      <c r="P71" s="529"/>
      <c r="Q71" s="530"/>
      <c r="R71" s="531"/>
      <c r="S71" s="531"/>
      <c r="T71" s="532"/>
    </row>
    <row r="72" spans="2:21" ht="14.65" customHeight="1">
      <c r="C72" s="492" t="s">
        <v>382</v>
      </c>
      <c r="D72" s="457"/>
      <c r="E72" s="457"/>
      <c r="F72" s="457"/>
      <c r="G72" s="457"/>
      <c r="H72" s="457"/>
      <c r="I72" s="457"/>
      <c r="J72" s="457"/>
      <c r="K72" s="457"/>
      <c r="L72" s="497"/>
      <c r="M72" s="527" t="str">
        <f>IF('Collecte des données'!I16="","",CRG!W4)</f>
        <v/>
      </c>
      <c r="N72" s="528"/>
      <c r="O72" s="528"/>
      <c r="P72" s="529"/>
      <c r="Q72" s="530"/>
      <c r="R72" s="531"/>
      <c r="S72" s="531"/>
      <c r="T72" s="532"/>
    </row>
    <row r="73" spans="2:21">
      <c r="C73" s="533" t="s">
        <v>383</v>
      </c>
      <c r="D73" s="534"/>
      <c r="E73" s="534"/>
      <c r="F73" s="534"/>
      <c r="G73" s="534"/>
      <c r="H73" s="534"/>
      <c r="I73" s="534"/>
      <c r="J73" s="534"/>
      <c r="K73" s="534"/>
      <c r="L73" s="535"/>
      <c r="M73" s="536" t="str">
        <f>IFERROR((SUM(M70:P71)-M72),"")</f>
        <v/>
      </c>
      <c r="N73" s="537"/>
      <c r="O73" s="537"/>
      <c r="P73" s="538"/>
      <c r="Q73" s="41"/>
      <c r="R73" s="41"/>
      <c r="S73" s="41"/>
      <c r="T73" s="42"/>
    </row>
    <row r="74" spans="2:21" ht="5.65" customHeight="1">
      <c r="C74" s="47"/>
      <c r="D74" s="48"/>
      <c r="E74" s="48"/>
      <c r="F74" s="48"/>
      <c r="G74" s="48"/>
      <c r="H74" s="48"/>
      <c r="I74" s="48"/>
      <c r="J74" s="48"/>
      <c r="K74" s="48"/>
      <c r="L74" s="48"/>
      <c r="M74" s="48"/>
      <c r="N74" s="48"/>
      <c r="O74" s="48"/>
      <c r="P74" s="48"/>
      <c r="Q74" s="48"/>
      <c r="R74" s="48"/>
      <c r="S74" s="48"/>
      <c r="T74" s="69"/>
      <c r="U74" s="48"/>
    </row>
    <row r="75" spans="2:21" ht="14.25">
      <c r="C75" s="49"/>
      <c r="D75" s="50"/>
      <c r="E75" s="50"/>
      <c r="F75" s="50"/>
      <c r="G75" s="50"/>
      <c r="H75" s="50"/>
      <c r="I75" s="50"/>
      <c r="J75" s="50"/>
      <c r="K75" s="50"/>
      <c r="L75" s="50"/>
      <c r="M75" s="450" t="s">
        <v>378</v>
      </c>
      <c r="N75" s="450"/>
      <c r="O75" s="450"/>
      <c r="P75" s="450"/>
      <c r="Q75" s="450" t="s">
        <v>379</v>
      </c>
      <c r="R75" s="450"/>
      <c r="S75" s="450"/>
      <c r="T75" s="451"/>
    </row>
    <row r="76" spans="2:21" ht="14.25">
      <c r="C76" s="539" t="s">
        <v>163</v>
      </c>
      <c r="D76" s="540"/>
      <c r="E76" s="540"/>
      <c r="F76" s="540"/>
      <c r="G76" s="540"/>
      <c r="H76" s="540"/>
      <c r="I76" s="541" t="s">
        <v>384</v>
      </c>
      <c r="J76" s="541"/>
      <c r="K76" s="541"/>
      <c r="L76" s="62">
        <v>1</v>
      </c>
      <c r="M76" s="542">
        <f>IF(CRG!W65="","",CRG!Y65)</f>
        <v>288900000</v>
      </c>
      <c r="N76" s="542"/>
      <c r="O76" s="542"/>
      <c r="P76" s="542"/>
      <c r="Q76" s="530"/>
      <c r="R76" s="531"/>
      <c r="S76" s="531"/>
      <c r="T76" s="532"/>
    </row>
    <row r="77" spans="2:21" ht="14.25">
      <c r="C77" s="539" t="s">
        <v>164</v>
      </c>
      <c r="D77" s="540"/>
      <c r="E77" s="540"/>
      <c r="F77" s="540"/>
      <c r="G77" s="540"/>
      <c r="H77" s="540"/>
      <c r="I77" s="540"/>
      <c r="J77" s="540"/>
      <c r="K77" s="540"/>
      <c r="L77" s="543"/>
      <c r="M77" s="542">
        <f>IF(CRG!W66="","",CRG!Y66)</f>
        <v>21000000</v>
      </c>
      <c r="N77" s="542"/>
      <c r="O77" s="542"/>
      <c r="P77" s="542"/>
      <c r="Q77" s="530"/>
      <c r="R77" s="531"/>
      <c r="S77" s="531"/>
      <c r="T77" s="532"/>
    </row>
    <row r="78" spans="2:21" ht="14.25">
      <c r="C78" s="539" t="s">
        <v>165</v>
      </c>
      <c r="D78" s="540"/>
      <c r="E78" s="540"/>
      <c r="F78" s="540"/>
      <c r="G78" s="540"/>
      <c r="H78" s="540"/>
      <c r="I78" s="540"/>
      <c r="J78" s="540"/>
      <c r="K78" s="540"/>
      <c r="L78" s="543"/>
      <c r="M78" s="542">
        <f>IF(CRG!W67="","",CRG!Y67)</f>
        <v>62510000</v>
      </c>
      <c r="N78" s="542"/>
      <c r="O78" s="542"/>
      <c r="P78" s="542"/>
      <c r="Q78" s="530"/>
      <c r="R78" s="531"/>
      <c r="S78" s="531"/>
      <c r="T78" s="532"/>
    </row>
    <row r="79" spans="2:21" ht="14.25">
      <c r="C79" s="539" t="s">
        <v>166</v>
      </c>
      <c r="D79" s="540"/>
      <c r="E79" s="540"/>
      <c r="F79" s="540"/>
      <c r="G79" s="540"/>
      <c r="H79" s="540"/>
      <c r="I79" s="540"/>
      <c r="J79" s="540"/>
      <c r="K79" s="540"/>
      <c r="L79" s="543"/>
      <c r="M79" s="542">
        <f>IF(CRG!W68="","",CRG!Y68)</f>
        <v>6500000</v>
      </c>
      <c r="N79" s="542"/>
      <c r="O79" s="542"/>
      <c r="P79" s="542"/>
      <c r="Q79" s="530"/>
      <c r="R79" s="531"/>
      <c r="S79" s="531"/>
      <c r="T79" s="532"/>
    </row>
    <row r="80" spans="2:21" ht="14.25">
      <c r="C80" s="539" t="s">
        <v>385</v>
      </c>
      <c r="D80" s="540"/>
      <c r="E80" s="540"/>
      <c r="F80" s="540"/>
      <c r="G80" s="540"/>
      <c r="H80" s="540"/>
      <c r="I80" s="540"/>
      <c r="J80" s="540"/>
      <c r="K80" s="540"/>
      <c r="L80" s="543"/>
      <c r="M80" s="542">
        <f>IF(CRG!W69="","",CRG!Y69)</f>
        <v>0</v>
      </c>
      <c r="N80" s="542"/>
      <c r="O80" s="542"/>
      <c r="P80" s="542"/>
      <c r="Q80" s="530"/>
      <c r="R80" s="531"/>
      <c r="S80" s="531"/>
      <c r="T80" s="532"/>
    </row>
    <row r="81" spans="2:20" ht="14.25">
      <c r="C81" s="539" t="s">
        <v>386</v>
      </c>
      <c r="D81" s="540"/>
      <c r="E81" s="540"/>
      <c r="F81" s="540"/>
      <c r="G81" s="540"/>
      <c r="H81" s="540"/>
      <c r="I81" s="540"/>
      <c r="J81" s="540"/>
      <c r="K81" s="540"/>
      <c r="L81" s="543"/>
      <c r="M81" s="542">
        <f>IF(CRG!W70="","",CRG!Y70)</f>
        <v>0</v>
      </c>
      <c r="N81" s="542"/>
      <c r="O81" s="542"/>
      <c r="P81" s="542"/>
      <c r="Q81" s="530"/>
      <c r="R81" s="531"/>
      <c r="S81" s="531"/>
      <c r="T81" s="532"/>
    </row>
    <row r="82" spans="2:20" ht="14.25">
      <c r="C82" s="534" t="s">
        <v>387</v>
      </c>
      <c r="D82" s="534"/>
      <c r="E82" s="534"/>
      <c r="F82" s="534"/>
      <c r="G82" s="534"/>
      <c r="H82" s="534"/>
      <c r="I82" s="534"/>
      <c r="J82" s="534"/>
      <c r="K82" s="534"/>
      <c r="L82" s="535"/>
      <c r="M82" s="544">
        <f>(M76+M80)-(M77+M78+M79)</f>
        <v>198890000</v>
      </c>
      <c r="N82" s="545"/>
      <c r="O82" s="545"/>
      <c r="P82" s="546"/>
    </row>
    <row r="83" spans="2:20" ht="4.5" customHeight="1">
      <c r="C83" s="51"/>
      <c r="D83" s="51"/>
      <c r="E83" s="51"/>
      <c r="F83" s="51"/>
      <c r="G83" s="51"/>
      <c r="H83" s="51"/>
      <c r="I83" s="51"/>
      <c r="J83" s="51"/>
      <c r="K83" s="51"/>
      <c r="L83" s="51"/>
      <c r="M83" s="63"/>
      <c r="N83" s="64"/>
      <c r="O83" s="64"/>
      <c r="P83" s="64"/>
    </row>
    <row r="84" spans="2:20">
      <c r="C84" s="547" t="e">
        <f>CRG!W82</f>
        <v>#VALUE!</v>
      </c>
      <c r="D84" s="547"/>
      <c r="E84" s="547"/>
      <c r="F84" s="547"/>
      <c r="G84" s="547"/>
      <c r="H84" s="547"/>
      <c r="I84" s="547"/>
      <c r="J84" s="547"/>
      <c r="K84" s="547"/>
      <c r="L84" s="547"/>
      <c r="M84" s="547"/>
      <c r="N84" s="547"/>
      <c r="O84" s="547"/>
      <c r="P84" s="547"/>
      <c r="Q84" s="547"/>
      <c r="R84" s="547"/>
      <c r="S84" s="547"/>
      <c r="T84" s="547"/>
    </row>
    <row r="85" spans="2:20" ht="8.65" customHeight="1"/>
    <row r="86" spans="2:20">
      <c r="B86" s="18" t="s">
        <v>230</v>
      </c>
      <c r="C86" s="46" t="s">
        <v>388</v>
      </c>
      <c r="D86" s="41"/>
      <c r="E86" s="41"/>
      <c r="F86" s="41"/>
      <c r="G86" s="41"/>
      <c r="H86" s="41"/>
      <c r="I86" s="41"/>
      <c r="J86" s="41"/>
      <c r="K86" s="41"/>
      <c r="L86" s="41"/>
      <c r="M86" s="41"/>
      <c r="N86" s="41"/>
      <c r="O86" s="41"/>
      <c r="P86" s="41"/>
      <c r="Q86" s="41"/>
      <c r="R86" s="41"/>
      <c r="S86" s="41"/>
      <c r="T86" s="42"/>
    </row>
    <row r="87" spans="2:20">
      <c r="C87" s="52"/>
      <c r="D87" s="53"/>
      <c r="E87" s="53"/>
      <c r="F87" s="53"/>
      <c r="G87" s="53"/>
      <c r="H87" s="53"/>
      <c r="I87" s="53"/>
      <c r="J87" s="53"/>
      <c r="K87" s="53"/>
      <c r="L87" s="53"/>
      <c r="M87" s="53"/>
      <c r="N87" s="53"/>
      <c r="O87" s="53"/>
      <c r="P87" s="53"/>
      <c r="Q87" s="548"/>
      <c r="R87" s="548"/>
      <c r="S87" s="548"/>
      <c r="T87" s="549"/>
    </row>
    <row r="88" spans="2:20" ht="14.65" customHeight="1">
      <c r="C88" s="550" t="str">
        <f>IFERROR(IF(CRG!Y84&lt;CRG!W86,"Attention !",""),"")</f>
        <v>Attention !</v>
      </c>
      <c r="D88" s="551"/>
      <c r="E88" s="559" t="str">
        <f>IFERROR(IF(CRG!Y84&lt;CRG!W86,"Cliquez ci-dessous (bleu) pour sélectionner le type de CDR",""),"")</f>
        <v>Cliquez ci-dessous (bleu) pour sélectionner le type de CDR</v>
      </c>
      <c r="F88" s="559"/>
      <c r="G88" s="559"/>
      <c r="H88" s="559"/>
      <c r="P88" s="436" t="s">
        <v>389</v>
      </c>
      <c r="Q88" s="436"/>
      <c r="R88" s="436"/>
      <c r="S88" s="436"/>
      <c r="T88" s="552"/>
    </row>
    <row r="89" spans="2:20">
      <c r="C89" s="54"/>
      <c r="D89" s="55"/>
      <c r="E89" s="559"/>
      <c r="F89" s="559"/>
      <c r="G89" s="559"/>
      <c r="H89" s="559"/>
      <c r="M89" s="553" t="s">
        <v>390</v>
      </c>
      <c r="N89" s="553"/>
      <c r="O89" s="553"/>
      <c r="P89" s="554">
        <v>60000000</v>
      </c>
      <c r="Q89" s="554"/>
      <c r="R89" s="554"/>
      <c r="S89" s="554"/>
      <c r="T89" s="554"/>
    </row>
    <row r="90" spans="2:20">
      <c r="C90" s="54"/>
      <c r="D90" s="55"/>
      <c r="E90" s="555" t="s">
        <v>462</v>
      </c>
      <c r="F90" s="555"/>
      <c r="G90" s="555"/>
      <c r="H90" s="555"/>
      <c r="M90" s="553" t="s">
        <v>391</v>
      </c>
      <c r="N90" s="553"/>
      <c r="O90" s="553"/>
      <c r="P90" s="66">
        <v>12</v>
      </c>
      <c r="Q90" s="70" t="s">
        <v>258</v>
      </c>
      <c r="R90" s="556" t="s">
        <v>392</v>
      </c>
      <c r="S90" s="557"/>
      <c r="T90" s="71">
        <v>12</v>
      </c>
    </row>
    <row r="91" spans="2:20">
      <c r="C91" s="54"/>
      <c r="D91" s="55"/>
      <c r="E91" s="55"/>
      <c r="F91" s="55"/>
      <c r="G91" s="55"/>
      <c r="H91" s="55"/>
      <c r="M91" s="553" t="s">
        <v>221</v>
      </c>
      <c r="N91" s="553"/>
      <c r="O91" s="553"/>
      <c r="P91" s="558">
        <v>71700000</v>
      </c>
      <c r="Q91" s="558"/>
      <c r="R91" s="558"/>
      <c r="S91" s="558"/>
      <c r="T91" s="558"/>
    </row>
    <row r="92" spans="2:20">
      <c r="C92" s="56"/>
      <c r="D92" s="2"/>
      <c r="E92" s="2"/>
      <c r="F92" s="2"/>
      <c r="G92" s="2"/>
      <c r="H92" s="2"/>
      <c r="J92" s="560" t="s">
        <v>393</v>
      </c>
      <c r="K92" s="561"/>
      <c r="M92" s="67"/>
      <c r="N92" s="67"/>
      <c r="O92" s="67"/>
      <c r="P92" s="67"/>
      <c r="Q92" s="72"/>
      <c r="R92" s="72"/>
      <c r="S92" s="72"/>
      <c r="T92" s="73"/>
    </row>
    <row r="93" spans="2:20" ht="14.65" customHeight="1">
      <c r="C93" s="562" t="str">
        <f>IF(E90="Capacité de remb. déclarée","R.1 Capacité de remboursement déclarée","R.1 Capacité de remboursement calculée")</f>
        <v>R.1 Capacité de remboursement calculée</v>
      </c>
      <c r="D93" s="563"/>
      <c r="E93" s="563"/>
      <c r="F93" s="563"/>
      <c r="G93" s="563"/>
      <c r="H93" s="564"/>
      <c r="J93" s="593" t="s">
        <v>394</v>
      </c>
      <c r="K93" s="593"/>
      <c r="M93" s="591" t="s">
        <v>395</v>
      </c>
      <c r="N93" s="569">
        <f>IF(OR('Collecte des données'!I18="",'Collecte des données'!I20="",'Collecte des données'!I23="",'Collecte des données'!I22="",'Collecte des données'!I12=""),"Information manquante",CRG!AA26)</f>
        <v>2.0625523012552303</v>
      </c>
      <c r="O93" s="570"/>
      <c r="Q93" s="591" t="s">
        <v>396</v>
      </c>
      <c r="R93" s="569">
        <f>IF(OR(P89="",P90="",P91="",T90="",'Collecte des données'!I12=""),"Information manquante",CRG!AB26)</f>
        <v>2.0625523012552303</v>
      </c>
      <c r="S93" s="570"/>
      <c r="T93" s="74"/>
    </row>
    <row r="94" spans="2:20">
      <c r="C94" s="575" t="s">
        <v>397</v>
      </c>
      <c r="D94" s="576"/>
      <c r="E94" s="576"/>
      <c r="F94" s="576"/>
      <c r="G94" s="576"/>
      <c r="H94" s="577"/>
      <c r="J94" s="593"/>
      <c r="K94" s="593"/>
      <c r="M94" s="591"/>
      <c r="N94" s="571"/>
      <c r="O94" s="572"/>
      <c r="Q94" s="591"/>
      <c r="R94" s="571"/>
      <c r="S94" s="572"/>
      <c r="T94" s="74"/>
    </row>
    <row r="95" spans="2:20">
      <c r="C95" s="578"/>
      <c r="D95" s="579"/>
      <c r="E95" s="579"/>
      <c r="F95" s="579"/>
      <c r="G95" s="579"/>
      <c r="H95" s="580"/>
      <c r="J95" s="593"/>
      <c r="K95" s="593"/>
      <c r="M95" s="591"/>
      <c r="N95" s="573"/>
      <c r="O95" s="574"/>
      <c r="Q95" s="591"/>
      <c r="R95" s="573"/>
      <c r="S95" s="574"/>
      <c r="T95" s="74"/>
    </row>
    <row r="96" spans="2:20">
      <c r="C96" s="59"/>
      <c r="D96" s="39"/>
      <c r="E96" s="39"/>
      <c r="F96" s="39"/>
      <c r="G96" s="39"/>
      <c r="H96" s="39"/>
      <c r="M96" s="591"/>
      <c r="Q96" s="591"/>
      <c r="T96" s="74"/>
    </row>
    <row r="97" spans="3:20" ht="14.65" customHeight="1">
      <c r="C97" s="565" t="s">
        <v>398</v>
      </c>
      <c r="D97" s="566"/>
      <c r="E97" s="566"/>
      <c r="F97" s="566"/>
      <c r="G97" s="566"/>
      <c r="H97" s="567"/>
      <c r="J97" s="593" t="s">
        <v>399</v>
      </c>
      <c r="K97" s="593"/>
      <c r="M97" s="591"/>
      <c r="N97" s="569">
        <f>IF(OR('Collecte des données'!I18="",'Collecte des données'!I20="",'Collecte des données'!I23=""),"Information manquante",CRG!AA20)</f>
        <v>1</v>
      </c>
      <c r="O97" s="570"/>
      <c r="Q97" s="591"/>
      <c r="R97" s="569">
        <f>IF(OR(P89="",P90="",P91=""),"Information manquante",CRG!AB20)</f>
        <v>1</v>
      </c>
      <c r="S97" s="570"/>
      <c r="T97" s="74"/>
    </row>
    <row r="98" spans="3:20">
      <c r="C98" s="575" t="s">
        <v>400</v>
      </c>
      <c r="D98" s="576"/>
      <c r="E98" s="576"/>
      <c r="F98" s="576"/>
      <c r="G98" s="576"/>
      <c r="H98" s="577"/>
      <c r="J98" s="593"/>
      <c r="K98" s="593"/>
      <c r="M98" s="591"/>
      <c r="N98" s="571"/>
      <c r="O98" s="572"/>
      <c r="Q98" s="591"/>
      <c r="R98" s="571"/>
      <c r="S98" s="572"/>
      <c r="T98" s="74"/>
    </row>
    <row r="99" spans="3:20">
      <c r="C99" s="578"/>
      <c r="D99" s="579"/>
      <c r="E99" s="579"/>
      <c r="F99" s="579"/>
      <c r="G99" s="579"/>
      <c r="H99" s="580"/>
      <c r="J99" s="593"/>
      <c r="K99" s="593"/>
      <c r="M99" s="591"/>
      <c r="N99" s="573"/>
      <c r="O99" s="574"/>
      <c r="Q99" s="591"/>
      <c r="R99" s="573"/>
      <c r="S99" s="574"/>
      <c r="T99" s="74"/>
    </row>
    <row r="100" spans="3:20">
      <c r="C100" s="59"/>
      <c r="D100" s="39"/>
      <c r="E100" s="39"/>
      <c r="F100" s="39"/>
      <c r="G100" s="39"/>
      <c r="H100" s="39"/>
      <c r="M100" s="591"/>
      <c r="Q100" s="591"/>
      <c r="T100" s="74"/>
    </row>
    <row r="101" spans="3:20" ht="14.65" customHeight="1">
      <c r="C101" s="565" t="s">
        <v>401</v>
      </c>
      <c r="D101" s="566"/>
      <c r="E101" s="566"/>
      <c r="F101" s="566"/>
      <c r="G101" s="566"/>
      <c r="H101" s="567"/>
      <c r="J101" s="593" t="s">
        <v>402</v>
      </c>
      <c r="K101" s="593"/>
      <c r="M101" s="591"/>
      <c r="N101" s="569" t="str">
        <f>IF(OR('Collecte des données'!I18="",'Collecte des données'!I20="",'Collecte des données'!I23=""),"Information manquante",CRG!AA21)</f>
        <v>Information manquante</v>
      </c>
      <c r="O101" s="570"/>
      <c r="Q101" s="591"/>
      <c r="R101" s="569" t="str">
        <f>IF(OR(P89="",P90="",P91=""),"Information manquante",CRG!AB21)</f>
        <v>Information manquante</v>
      </c>
      <c r="S101" s="570"/>
      <c r="T101" s="74"/>
    </row>
    <row r="102" spans="3:20">
      <c r="C102" s="575" t="s">
        <v>403</v>
      </c>
      <c r="D102" s="576"/>
      <c r="E102" s="576"/>
      <c r="F102" s="576"/>
      <c r="G102" s="576"/>
      <c r="H102" s="577"/>
      <c r="J102" s="593"/>
      <c r="K102" s="593"/>
      <c r="M102" s="591"/>
      <c r="N102" s="571"/>
      <c r="O102" s="572"/>
      <c r="Q102" s="591"/>
      <c r="R102" s="571"/>
      <c r="S102" s="572"/>
      <c r="T102" s="74"/>
    </row>
    <row r="103" spans="3:20">
      <c r="C103" s="578"/>
      <c r="D103" s="579"/>
      <c r="E103" s="579"/>
      <c r="F103" s="579"/>
      <c r="G103" s="579"/>
      <c r="H103" s="580"/>
      <c r="J103" s="593"/>
      <c r="K103" s="593"/>
      <c r="M103" s="591"/>
      <c r="N103" s="573"/>
      <c r="O103" s="574"/>
      <c r="Q103" s="591"/>
      <c r="R103" s="573"/>
      <c r="S103" s="574"/>
      <c r="T103" s="74"/>
    </row>
    <row r="104" spans="3:20">
      <c r="C104" s="60"/>
      <c r="M104" s="591"/>
      <c r="Q104" s="591"/>
      <c r="T104" s="74"/>
    </row>
    <row r="105" spans="3:20" ht="14.65" customHeight="1">
      <c r="C105" s="565" t="s">
        <v>404</v>
      </c>
      <c r="D105" s="566"/>
      <c r="E105" s="566"/>
      <c r="F105" s="566"/>
      <c r="G105" s="566"/>
      <c r="H105" s="567"/>
      <c r="J105" s="593" t="s">
        <v>405</v>
      </c>
      <c r="K105" s="593"/>
      <c r="M105" s="591"/>
      <c r="N105" s="569">
        <f>IF(OR('Collecte des données'!I18="",'Collecte des données'!I20="",'Collecte des données'!I23=""),"Information manquante",CRG!AA22)</f>
        <v>0.28570068091995621</v>
      </c>
      <c r="O105" s="570"/>
      <c r="Q105" s="591"/>
      <c r="R105" s="569">
        <f>IF(OR(P89="",P90="",P91=""),"Information manquante",CRG!AB22)</f>
        <v>0.28570068091995621</v>
      </c>
      <c r="S105" s="570"/>
      <c r="T105" s="74"/>
    </row>
    <row r="106" spans="3:20">
      <c r="C106" s="575" t="s">
        <v>406</v>
      </c>
      <c r="D106" s="576"/>
      <c r="E106" s="576"/>
      <c r="F106" s="576"/>
      <c r="G106" s="576"/>
      <c r="H106" s="577"/>
      <c r="J106" s="593"/>
      <c r="K106" s="593"/>
      <c r="M106" s="591"/>
      <c r="N106" s="571"/>
      <c r="O106" s="572"/>
      <c r="Q106" s="591"/>
      <c r="R106" s="571"/>
      <c r="S106" s="572"/>
      <c r="T106" s="74"/>
    </row>
    <row r="107" spans="3:20">
      <c r="C107" s="578"/>
      <c r="D107" s="579"/>
      <c r="E107" s="579"/>
      <c r="F107" s="579"/>
      <c r="G107" s="579"/>
      <c r="H107" s="580"/>
      <c r="J107" s="593"/>
      <c r="K107" s="593"/>
      <c r="M107" s="591"/>
      <c r="N107" s="573"/>
      <c r="O107" s="574"/>
      <c r="Q107" s="591"/>
      <c r="R107" s="573"/>
      <c r="S107" s="574"/>
      <c r="T107" s="74"/>
    </row>
    <row r="108" spans="3:20">
      <c r="C108" s="57"/>
      <c r="D108" s="58"/>
      <c r="E108" s="58"/>
      <c r="F108" s="58"/>
      <c r="G108" s="58"/>
      <c r="H108" s="58"/>
      <c r="J108" s="67"/>
      <c r="K108" s="67"/>
      <c r="M108" s="591"/>
      <c r="N108" s="39"/>
      <c r="O108" s="39"/>
      <c r="Q108" s="591"/>
      <c r="R108" s="75"/>
      <c r="S108" s="75"/>
      <c r="T108" s="74"/>
    </row>
    <row r="109" spans="3:20" ht="14.65" customHeight="1">
      <c r="C109" s="565" t="s">
        <v>407</v>
      </c>
      <c r="D109" s="566"/>
      <c r="E109" s="566"/>
      <c r="F109" s="566"/>
      <c r="G109" s="566"/>
      <c r="H109" s="567"/>
      <c r="J109" s="593" t="s">
        <v>405</v>
      </c>
      <c r="K109" s="593"/>
      <c r="M109" s="591"/>
      <c r="N109" s="569">
        <f>IF(OR('Collecte des données'!I18="",'Collecte des données'!I20="",'Collecte des données'!I23=""),"Information manquante",CRG!AA23)</f>
        <v>1.757217036804911E-2</v>
      </c>
      <c r="O109" s="570"/>
      <c r="Q109" s="591"/>
      <c r="R109" s="569">
        <f>IF(OR(P89="",P90="",P91=""),"Information manquante",CRG!AB23)</f>
        <v>1.757217036804911E-2</v>
      </c>
      <c r="S109" s="570"/>
      <c r="T109" s="74"/>
    </row>
    <row r="110" spans="3:20">
      <c r="C110" s="575" t="s">
        <v>408</v>
      </c>
      <c r="D110" s="576"/>
      <c r="E110" s="576"/>
      <c r="F110" s="576"/>
      <c r="G110" s="576"/>
      <c r="H110" s="577"/>
      <c r="J110" s="593"/>
      <c r="K110" s="593"/>
      <c r="M110" s="591"/>
      <c r="N110" s="571"/>
      <c r="O110" s="572"/>
      <c r="Q110" s="591"/>
      <c r="R110" s="571"/>
      <c r="S110" s="572"/>
      <c r="T110" s="74"/>
    </row>
    <row r="111" spans="3:20">
      <c r="C111" s="578"/>
      <c r="D111" s="579"/>
      <c r="E111" s="579"/>
      <c r="F111" s="579"/>
      <c r="G111" s="579"/>
      <c r="H111" s="580"/>
      <c r="J111" s="593"/>
      <c r="K111" s="593"/>
      <c r="M111" s="591"/>
      <c r="N111" s="573"/>
      <c r="O111" s="574"/>
      <c r="Q111" s="591"/>
      <c r="R111" s="573"/>
      <c r="S111" s="574"/>
      <c r="T111" s="74"/>
    </row>
    <row r="112" spans="3:20">
      <c r="C112" s="60"/>
      <c r="M112" s="591"/>
      <c r="Q112" s="591"/>
      <c r="R112" s="76"/>
      <c r="S112" s="76"/>
      <c r="T112" s="74"/>
    </row>
    <row r="113" spans="2:20" ht="14.65" customHeight="1">
      <c r="C113" s="565" t="s">
        <v>409</v>
      </c>
      <c r="D113" s="566"/>
      <c r="E113" s="566"/>
      <c r="F113" s="566"/>
      <c r="G113" s="566"/>
      <c r="H113" s="567"/>
      <c r="J113" s="593" t="s">
        <v>410</v>
      </c>
      <c r="K113" s="593"/>
      <c r="M113" s="591"/>
      <c r="N113" s="569">
        <f>IF(OR('Collecte des données'!I18="",'Collecte des données'!I20="",'Collecte des données'!I23="",'Collecte des données'!I24=""),"Information manquante",CRG!AA24)</f>
        <v>1.7666666666666666</v>
      </c>
      <c r="O113" s="570"/>
      <c r="Q113" s="591"/>
      <c r="R113" s="569">
        <f>IF(OR(P89="",P90="",P91=""),"Information manquante",CRG!AB24)</f>
        <v>1.7666666666666666</v>
      </c>
      <c r="S113" s="570"/>
      <c r="T113" s="74"/>
    </row>
    <row r="114" spans="2:20">
      <c r="C114" s="575" t="s">
        <v>411</v>
      </c>
      <c r="D114" s="576"/>
      <c r="E114" s="576"/>
      <c r="F114" s="576"/>
      <c r="G114" s="576"/>
      <c r="H114" s="577"/>
      <c r="J114" s="593"/>
      <c r="K114" s="593"/>
      <c r="M114" s="591"/>
      <c r="N114" s="571"/>
      <c r="O114" s="572"/>
      <c r="Q114" s="591"/>
      <c r="R114" s="571"/>
      <c r="S114" s="572"/>
      <c r="T114" s="74"/>
    </row>
    <row r="115" spans="2:20">
      <c r="C115" s="578"/>
      <c r="D115" s="579"/>
      <c r="E115" s="579"/>
      <c r="F115" s="579"/>
      <c r="G115" s="579"/>
      <c r="H115" s="580"/>
      <c r="I115" s="68"/>
      <c r="J115" s="593"/>
      <c r="K115" s="593"/>
      <c r="L115" s="68"/>
      <c r="M115" s="592"/>
      <c r="N115" s="573"/>
      <c r="O115" s="574"/>
      <c r="P115" s="68"/>
      <c r="Q115" s="592"/>
      <c r="R115" s="573"/>
      <c r="S115" s="574"/>
      <c r="T115" s="77"/>
    </row>
    <row r="118" spans="2:20">
      <c r="B118" s="18" t="s">
        <v>270</v>
      </c>
      <c r="C118" s="46" t="s">
        <v>412</v>
      </c>
      <c r="D118" s="41"/>
      <c r="E118" s="41"/>
      <c r="F118" s="41"/>
      <c r="G118" s="41"/>
      <c r="H118" s="41"/>
      <c r="I118" s="41"/>
      <c r="J118" s="41"/>
      <c r="K118" s="41"/>
      <c r="L118" s="41"/>
      <c r="M118" s="41"/>
      <c r="N118" s="41"/>
      <c r="O118" s="41"/>
      <c r="P118" s="41"/>
      <c r="Q118" s="41"/>
      <c r="R118" s="41"/>
      <c r="S118" s="41"/>
      <c r="T118" s="42"/>
    </row>
    <row r="119" spans="2:20">
      <c r="C119" s="52"/>
      <c r="D119" s="53"/>
      <c r="E119" s="53"/>
      <c r="F119" s="53"/>
      <c r="G119" s="53"/>
      <c r="H119" s="53"/>
      <c r="I119" s="53"/>
      <c r="J119" s="53"/>
      <c r="K119" s="53"/>
      <c r="L119" s="53"/>
      <c r="M119" s="53"/>
      <c r="N119" s="53"/>
      <c r="O119" s="53"/>
      <c r="P119" s="53"/>
      <c r="Q119" s="548"/>
      <c r="R119" s="548"/>
      <c r="S119" s="548"/>
      <c r="T119" s="549"/>
    </row>
    <row r="120" spans="2:20">
      <c r="C120" s="581"/>
      <c r="D120" s="582"/>
      <c r="E120" s="582"/>
      <c r="F120" s="582"/>
      <c r="G120" s="582"/>
      <c r="H120" s="582"/>
      <c r="I120" s="582"/>
      <c r="J120" s="582"/>
      <c r="K120" s="582"/>
      <c r="L120" s="582"/>
      <c r="M120" s="582"/>
      <c r="N120" s="582"/>
      <c r="O120" s="582"/>
      <c r="P120" s="582"/>
      <c r="Q120" s="582"/>
      <c r="R120" s="582"/>
      <c r="S120" s="582"/>
      <c r="T120" s="583"/>
    </row>
    <row r="121" spans="2:20">
      <c r="C121" s="581"/>
      <c r="D121" s="582"/>
      <c r="E121" s="582"/>
      <c r="F121" s="582"/>
      <c r="G121" s="582"/>
      <c r="H121" s="582"/>
      <c r="I121" s="582"/>
      <c r="J121" s="582"/>
      <c r="K121" s="582"/>
      <c r="L121" s="582"/>
      <c r="M121" s="582"/>
      <c r="N121" s="582"/>
      <c r="O121" s="582"/>
      <c r="P121" s="582"/>
      <c r="Q121" s="582"/>
      <c r="R121" s="582"/>
      <c r="S121" s="582"/>
      <c r="T121" s="583"/>
    </row>
    <row r="122" spans="2:20">
      <c r="C122" s="581"/>
      <c r="D122" s="582"/>
      <c r="E122" s="582"/>
      <c r="F122" s="582"/>
      <c r="G122" s="582"/>
      <c r="H122" s="582"/>
      <c r="I122" s="582"/>
      <c r="J122" s="582"/>
      <c r="K122" s="582"/>
      <c r="L122" s="582"/>
      <c r="M122" s="582"/>
      <c r="N122" s="582"/>
      <c r="O122" s="582"/>
      <c r="P122" s="582"/>
      <c r="Q122" s="582"/>
      <c r="R122" s="582"/>
      <c r="S122" s="582"/>
      <c r="T122" s="583"/>
    </row>
    <row r="123" spans="2:20">
      <c r="C123" s="584"/>
      <c r="D123" s="585"/>
      <c r="E123" s="585"/>
      <c r="F123" s="585"/>
      <c r="G123" s="585"/>
      <c r="H123" s="585"/>
      <c r="I123" s="585"/>
      <c r="J123" s="585"/>
      <c r="K123" s="585"/>
      <c r="L123" s="585"/>
      <c r="M123" s="585"/>
      <c r="N123" s="585"/>
      <c r="O123" s="585"/>
      <c r="P123" s="585"/>
      <c r="Q123" s="585"/>
      <c r="R123" s="585"/>
      <c r="S123" s="585"/>
      <c r="T123" s="586"/>
    </row>
    <row r="124" spans="2:20">
      <c r="H124" s="568" t="s">
        <v>241</v>
      </c>
      <c r="I124" s="568"/>
      <c r="J124" s="568"/>
      <c r="K124" s="568"/>
      <c r="L124" s="568"/>
      <c r="M124" s="568"/>
      <c r="N124" s="568"/>
    </row>
    <row r="125" spans="2:20">
      <c r="H125" s="587" t="s">
        <v>242</v>
      </c>
      <c r="I125" s="587"/>
      <c r="J125" s="587"/>
      <c r="K125" s="587"/>
      <c r="L125" s="587"/>
      <c r="M125" s="587"/>
      <c r="N125" s="587"/>
    </row>
    <row r="126" spans="2:20">
      <c r="H126" s="327"/>
      <c r="I126" s="327"/>
      <c r="J126" s="327"/>
      <c r="K126" s="327"/>
      <c r="L126" s="327"/>
      <c r="M126" s="327"/>
      <c r="N126" s="327"/>
    </row>
    <row r="127" spans="2:20">
      <c r="H127" s="327"/>
      <c r="I127" s="327"/>
      <c r="J127" s="327"/>
      <c r="K127" s="327"/>
      <c r="L127" s="327"/>
      <c r="M127" s="327"/>
      <c r="N127" s="327"/>
    </row>
    <row r="128" spans="2:20">
      <c r="H128" s="327"/>
      <c r="I128" s="327"/>
      <c r="J128" s="327"/>
      <c r="K128" s="327"/>
      <c r="L128" s="327"/>
      <c r="M128" s="327"/>
      <c r="N128" s="327"/>
    </row>
  </sheetData>
  <sheetProtection algorithmName="SHA-512" hashValue="DW6w1REp+lHBAQWnQClKZKWCMSVfQC8eoDuUoVS+nMfjrjpCVMN1rX/jU/FfNk2aczW5I3sT4JCWVe+ZUEO6NQ==" saltValue="bKRpci4FN4yM950+5Um97A==" spinCount="100000" sheet="1" objects="1" scenarios="1" selectLockedCells="1"/>
  <mergeCells count="305">
    <mergeCell ref="H125:N125"/>
    <mergeCell ref="C42:C54"/>
    <mergeCell ref="M93:M115"/>
    <mergeCell ref="Q93:Q115"/>
    <mergeCell ref="H126:N128"/>
    <mergeCell ref="J113:K115"/>
    <mergeCell ref="N113:O115"/>
    <mergeCell ref="R113:S115"/>
    <mergeCell ref="J93:K95"/>
    <mergeCell ref="N93:O95"/>
    <mergeCell ref="R93:S95"/>
    <mergeCell ref="J97:K99"/>
    <mergeCell ref="N97:O99"/>
    <mergeCell ref="R97:S99"/>
    <mergeCell ref="J101:K103"/>
    <mergeCell ref="N101:O103"/>
    <mergeCell ref="R101:S103"/>
    <mergeCell ref="J109:K111"/>
    <mergeCell ref="N109:O111"/>
    <mergeCell ref="R109:S111"/>
    <mergeCell ref="C120:T121"/>
    <mergeCell ref="C114:H115"/>
    <mergeCell ref="J105:K107"/>
    <mergeCell ref="N105:O107"/>
    <mergeCell ref="J92:K92"/>
    <mergeCell ref="C93:H93"/>
    <mergeCell ref="C97:H97"/>
    <mergeCell ref="C101:H101"/>
    <mergeCell ref="C105:H105"/>
    <mergeCell ref="C109:H109"/>
    <mergeCell ref="C113:H113"/>
    <mergeCell ref="Q119:T119"/>
    <mergeCell ref="H124:N124"/>
    <mergeCell ref="R105:S107"/>
    <mergeCell ref="C106:H107"/>
    <mergeCell ref="C94:H95"/>
    <mergeCell ref="C98:H99"/>
    <mergeCell ref="C122:T123"/>
    <mergeCell ref="C102:H103"/>
    <mergeCell ref="C110:H111"/>
    <mergeCell ref="Q87:T87"/>
    <mergeCell ref="C88:D88"/>
    <mergeCell ref="P88:T88"/>
    <mergeCell ref="M89:O89"/>
    <mergeCell ref="P89:T89"/>
    <mergeCell ref="E90:H90"/>
    <mergeCell ref="M90:O90"/>
    <mergeCell ref="R90:S90"/>
    <mergeCell ref="M91:O91"/>
    <mergeCell ref="P91:T91"/>
    <mergeCell ref="E88:H89"/>
    <mergeCell ref="C80:L80"/>
    <mergeCell ref="M80:P80"/>
    <mergeCell ref="Q80:T80"/>
    <mergeCell ref="C81:L81"/>
    <mergeCell ref="M81:P81"/>
    <mergeCell ref="Q81:T81"/>
    <mergeCell ref="C82:L82"/>
    <mergeCell ref="M82:P82"/>
    <mergeCell ref="C84:T84"/>
    <mergeCell ref="C77:L77"/>
    <mergeCell ref="M77:P77"/>
    <mergeCell ref="Q77:T77"/>
    <mergeCell ref="C78:L78"/>
    <mergeCell ref="M78:P78"/>
    <mergeCell ref="Q78:T78"/>
    <mergeCell ref="C79:L79"/>
    <mergeCell ref="M79:P79"/>
    <mergeCell ref="Q79:T79"/>
    <mergeCell ref="C72:L72"/>
    <mergeCell ref="M72:P72"/>
    <mergeCell ref="Q72:T72"/>
    <mergeCell ref="C73:L73"/>
    <mergeCell ref="M73:P73"/>
    <mergeCell ref="M75:P75"/>
    <mergeCell ref="Q75:T75"/>
    <mergeCell ref="C76:H76"/>
    <mergeCell ref="I76:K76"/>
    <mergeCell ref="M76:P76"/>
    <mergeCell ref="Q76:T76"/>
    <mergeCell ref="C65:T65"/>
    <mergeCell ref="S67:T67"/>
    <mergeCell ref="C69:L69"/>
    <mergeCell ref="M69:P69"/>
    <mergeCell ref="Q69:T69"/>
    <mergeCell ref="C70:L70"/>
    <mergeCell ref="M70:P70"/>
    <mergeCell ref="Q70:T70"/>
    <mergeCell ref="C71:L71"/>
    <mergeCell ref="M71:P71"/>
    <mergeCell ref="Q71:T71"/>
    <mergeCell ref="C61:G61"/>
    <mergeCell ref="I61:L61"/>
    <mergeCell ref="M61:P61"/>
    <mergeCell ref="Q61:T61"/>
    <mergeCell ref="C62:G62"/>
    <mergeCell ref="I62:L62"/>
    <mergeCell ref="M62:P62"/>
    <mergeCell ref="Q62:T62"/>
    <mergeCell ref="C63:H63"/>
    <mergeCell ref="I63:L63"/>
    <mergeCell ref="M63:P63"/>
    <mergeCell ref="Q63:T63"/>
    <mergeCell ref="C58:H58"/>
    <mergeCell ref="I58:L58"/>
    <mergeCell ref="M58:P58"/>
    <mergeCell ref="Q58:T58"/>
    <mergeCell ref="C59:H59"/>
    <mergeCell ref="I59:L59"/>
    <mergeCell ref="M59:P59"/>
    <mergeCell ref="Q59:T59"/>
    <mergeCell ref="I60:L60"/>
    <mergeCell ref="M60:P60"/>
    <mergeCell ref="Q60:T60"/>
    <mergeCell ref="C55:G55"/>
    <mergeCell ref="I55:L55"/>
    <mergeCell ref="M55:P55"/>
    <mergeCell ref="Q55:T55"/>
    <mergeCell ref="D56:G56"/>
    <mergeCell ref="I56:L56"/>
    <mergeCell ref="M56:P56"/>
    <mergeCell ref="Q56:T56"/>
    <mergeCell ref="C57:G57"/>
    <mergeCell ref="I57:L57"/>
    <mergeCell ref="M57:P57"/>
    <mergeCell ref="Q57:T57"/>
    <mergeCell ref="D52:G52"/>
    <mergeCell ref="I52:L52"/>
    <mergeCell ref="M52:P52"/>
    <mergeCell ref="Q52:T52"/>
    <mergeCell ref="D53:G53"/>
    <mergeCell ref="I53:L53"/>
    <mergeCell ref="M53:P53"/>
    <mergeCell ref="Q53:T53"/>
    <mergeCell ref="D54:G54"/>
    <mergeCell ref="I54:L54"/>
    <mergeCell ref="M54:P54"/>
    <mergeCell ref="Q54:T54"/>
    <mergeCell ref="D49:H49"/>
    <mergeCell ref="I49:L49"/>
    <mergeCell ref="M49:P49"/>
    <mergeCell ref="Q49:T49"/>
    <mergeCell ref="D50:G50"/>
    <mergeCell ref="I50:L50"/>
    <mergeCell ref="M50:P50"/>
    <mergeCell ref="Q50:T50"/>
    <mergeCell ref="D51:G51"/>
    <mergeCell ref="I51:L51"/>
    <mergeCell ref="M51:P51"/>
    <mergeCell ref="Q51:T51"/>
    <mergeCell ref="D46:G46"/>
    <mergeCell ref="I46:L46"/>
    <mergeCell ref="M46:P46"/>
    <mergeCell ref="Q46:T46"/>
    <mergeCell ref="D47:G47"/>
    <mergeCell ref="I47:L47"/>
    <mergeCell ref="M47:P47"/>
    <mergeCell ref="Q47:T47"/>
    <mergeCell ref="D48:G48"/>
    <mergeCell ref="I48:L48"/>
    <mergeCell ref="M48:P48"/>
    <mergeCell ref="Q48:T48"/>
    <mergeCell ref="D43:H43"/>
    <mergeCell ref="I43:L43"/>
    <mergeCell ref="M43:P43"/>
    <mergeCell ref="Q43:T43"/>
    <mergeCell ref="D44:H44"/>
    <mergeCell ref="I44:L44"/>
    <mergeCell ref="M44:P44"/>
    <mergeCell ref="Q44:T44"/>
    <mergeCell ref="D45:H45"/>
    <mergeCell ref="I45:L45"/>
    <mergeCell ref="M45:P45"/>
    <mergeCell ref="Q45:T45"/>
    <mergeCell ref="C41:E41"/>
    <mergeCell ref="G41:H41"/>
    <mergeCell ref="I41:L41"/>
    <mergeCell ref="M41:P41"/>
    <mergeCell ref="Q41:T41"/>
    <mergeCell ref="D42:H42"/>
    <mergeCell ref="I42:L42"/>
    <mergeCell ref="M42:P42"/>
    <mergeCell ref="Q42:T42"/>
    <mergeCell ref="C39:E39"/>
    <mergeCell ref="G39:H39"/>
    <mergeCell ref="I39:L39"/>
    <mergeCell ref="M39:P39"/>
    <mergeCell ref="Q39:T39"/>
    <mergeCell ref="C40:G40"/>
    <mergeCell ref="I40:L40"/>
    <mergeCell ref="M40:P40"/>
    <mergeCell ref="Q40:T40"/>
    <mergeCell ref="S36:T36"/>
    <mergeCell ref="C37:F37"/>
    <mergeCell ref="I37:L37"/>
    <mergeCell ref="M37:P37"/>
    <mergeCell ref="Q37:T37"/>
    <mergeCell ref="C38:H38"/>
    <mergeCell ref="I38:L38"/>
    <mergeCell ref="M38:P38"/>
    <mergeCell ref="Q38:T38"/>
    <mergeCell ref="C32:G32"/>
    <mergeCell ref="I32:L32"/>
    <mergeCell ref="M32:P32"/>
    <mergeCell ref="Q32:T32"/>
    <mergeCell ref="C33:H33"/>
    <mergeCell ref="I33:L33"/>
    <mergeCell ref="M33:P33"/>
    <mergeCell ref="Q33:T33"/>
    <mergeCell ref="C34:H34"/>
    <mergeCell ref="I34:L34"/>
    <mergeCell ref="M34:P34"/>
    <mergeCell ref="Q34:T34"/>
    <mergeCell ref="C28:G28"/>
    <mergeCell ref="I28:L28"/>
    <mergeCell ref="M28:P28"/>
    <mergeCell ref="Q28:T28"/>
    <mergeCell ref="C29:G29"/>
    <mergeCell ref="I29:L29"/>
    <mergeCell ref="M29:P29"/>
    <mergeCell ref="Q29:T29"/>
    <mergeCell ref="C30:G30"/>
    <mergeCell ref="I30:L30"/>
    <mergeCell ref="M30:P30"/>
    <mergeCell ref="Q30:T30"/>
    <mergeCell ref="C25:H25"/>
    <mergeCell ref="I25:L25"/>
    <mergeCell ref="M25:P25"/>
    <mergeCell ref="Q25:T25"/>
    <mergeCell ref="C26:H26"/>
    <mergeCell ref="I26:L26"/>
    <mergeCell ref="M26:P26"/>
    <mergeCell ref="Q26:T26"/>
    <mergeCell ref="C27:G27"/>
    <mergeCell ref="I27:L27"/>
    <mergeCell ref="M27:P27"/>
    <mergeCell ref="Q27:T27"/>
    <mergeCell ref="C23:E23"/>
    <mergeCell ref="F23:H23"/>
    <mergeCell ref="I23:L23"/>
    <mergeCell ref="M23:P23"/>
    <mergeCell ref="Q23:T23"/>
    <mergeCell ref="C24:G24"/>
    <mergeCell ref="I24:L24"/>
    <mergeCell ref="M24:P24"/>
    <mergeCell ref="Q24:T24"/>
    <mergeCell ref="D20:G20"/>
    <mergeCell ref="I20:K20"/>
    <mergeCell ref="M20:P20"/>
    <mergeCell ref="Q20:T20"/>
    <mergeCell ref="D21:G21"/>
    <mergeCell ref="I21:K21"/>
    <mergeCell ref="M21:P21"/>
    <mergeCell ref="Q21:T21"/>
    <mergeCell ref="C22:E22"/>
    <mergeCell ref="I22:L22"/>
    <mergeCell ref="M22:P22"/>
    <mergeCell ref="Q22:T22"/>
    <mergeCell ref="D17:G17"/>
    <mergeCell ref="I17:K17"/>
    <mergeCell ref="M17:P17"/>
    <mergeCell ref="Q17:T17"/>
    <mergeCell ref="D18:G18"/>
    <mergeCell ref="I18:K18"/>
    <mergeCell ref="M18:P18"/>
    <mergeCell ref="Q18:T18"/>
    <mergeCell ref="D19:G19"/>
    <mergeCell ref="I19:K19"/>
    <mergeCell ref="M19:P19"/>
    <mergeCell ref="Q19:T19"/>
    <mergeCell ref="D14:E14"/>
    <mergeCell ref="I14:K14"/>
    <mergeCell ref="M14:P14"/>
    <mergeCell ref="Q14:T14"/>
    <mergeCell ref="D15:F15"/>
    <mergeCell ref="I15:K15"/>
    <mergeCell ref="M15:P15"/>
    <mergeCell ref="Q15:T15"/>
    <mergeCell ref="D16:G16"/>
    <mergeCell ref="I16:K16"/>
    <mergeCell ref="M16:P16"/>
    <mergeCell ref="Q16:T16"/>
    <mergeCell ref="S10:T10"/>
    <mergeCell ref="I11:L11"/>
    <mergeCell ref="M11:P11"/>
    <mergeCell ref="C12:H12"/>
    <mergeCell ref="I12:L12"/>
    <mergeCell ref="M12:P12"/>
    <mergeCell ref="Q12:T12"/>
    <mergeCell ref="C13:E13"/>
    <mergeCell ref="I13:L13"/>
    <mergeCell ref="M13:P13"/>
    <mergeCell ref="Q13:T13"/>
    <mergeCell ref="E2:Q2"/>
    <mergeCell ref="C5:G5"/>
    <mergeCell ref="I5:O5"/>
    <mergeCell ref="Q5:R5"/>
    <mergeCell ref="S5:T5"/>
    <mergeCell ref="C7:E7"/>
    <mergeCell ref="F7:G7"/>
    <mergeCell ref="I7:J7"/>
    <mergeCell ref="C9:D9"/>
    <mergeCell ref="E9:H9"/>
    <mergeCell ref="I9:L9"/>
    <mergeCell ref="K6:T7"/>
  </mergeCells>
  <conditionalFormatting sqref="C88:H89">
    <cfRule type="expression" dxfId="47" priority="3">
      <formula>$C$88="Attention !"</formula>
    </cfRule>
  </conditionalFormatting>
  <conditionalFormatting sqref="C34:L34">
    <cfRule type="expression" dxfId="46" priority="65">
      <formula>$I$34&lt;0</formula>
    </cfRule>
  </conditionalFormatting>
  <conditionalFormatting sqref="C57:L57">
    <cfRule type="expression" dxfId="45" priority="63">
      <formula>$I$57&lt;0</formula>
    </cfRule>
  </conditionalFormatting>
  <conditionalFormatting sqref="C59:L59">
    <cfRule type="expression" dxfId="44" priority="62">
      <formula>$I$59&lt;0</formula>
    </cfRule>
  </conditionalFormatting>
  <conditionalFormatting sqref="C63:L63">
    <cfRule type="expression" dxfId="43" priority="6">
      <formula>$I$63&lt;0</formula>
    </cfRule>
  </conditionalFormatting>
  <conditionalFormatting sqref="E90:H90">
    <cfRule type="expression" dxfId="42" priority="2">
      <formula>$C$88="Attention !"</formula>
    </cfRule>
  </conditionalFormatting>
  <conditionalFormatting sqref="M82:P83">
    <cfRule type="expression" dxfId="41" priority="60">
      <formula>$M$82&lt;0</formula>
    </cfRule>
  </conditionalFormatting>
  <conditionalFormatting sqref="N93:O95">
    <cfRule type="containsText" dxfId="40" priority="44" operator="containsText" text="Information manquante">
      <formula>NOT(ISERROR(SEARCH("Information manquante",N93)))</formula>
    </cfRule>
    <cfRule type="expression" dxfId="39" priority="45">
      <formula>AND($N$93&gt;=100%,$N$93&lt;200%)</formula>
    </cfRule>
    <cfRule type="expression" dxfId="38" priority="46">
      <formula>$N$93&gt;=200%</formula>
    </cfRule>
    <cfRule type="expression" dxfId="37" priority="47">
      <formula>$N$93&lt;100%</formula>
    </cfRule>
  </conditionalFormatting>
  <conditionalFormatting sqref="N97:O99">
    <cfRule type="containsText" dxfId="36" priority="40" operator="containsText" text="Information manquante">
      <formula>NOT(ISERROR(SEARCH("Information manquante",N97)))</formula>
    </cfRule>
    <cfRule type="expression" dxfId="35" priority="41">
      <formula>$N$97&lt;35%</formula>
    </cfRule>
    <cfRule type="expression" dxfId="34" priority="42">
      <formula>$N$97&gt;=35%</formula>
    </cfRule>
  </conditionalFormatting>
  <conditionalFormatting sqref="N101:O103">
    <cfRule type="containsText" dxfId="33" priority="37" operator="containsText" text="Information manquante">
      <formula>NOT(ISERROR(SEARCH("Information manquante",N101)))</formula>
    </cfRule>
    <cfRule type="expression" dxfId="32" priority="38">
      <formula>$N$101&lt;100%</formula>
    </cfRule>
    <cfRule type="expression" dxfId="31" priority="39">
      <formula>$N$101&gt;=100%</formula>
    </cfRule>
  </conditionalFormatting>
  <conditionalFormatting sqref="N105:O107">
    <cfRule type="containsText" dxfId="30" priority="28" operator="containsText" text="Information manquante">
      <formula>NOT(ISERROR(SEARCH("Information manquante",N105)))</formula>
    </cfRule>
    <cfRule type="expression" dxfId="29" priority="29">
      <formula>$N$105&gt;=50%</formula>
    </cfRule>
    <cfRule type="expression" dxfId="28" priority="30">
      <formula>$N$105&lt;50%</formula>
    </cfRule>
  </conditionalFormatting>
  <conditionalFormatting sqref="N109:O111">
    <cfRule type="containsText" dxfId="27" priority="19" operator="containsText" text="Information manquante">
      <formula>NOT(ISERROR(SEARCH("Information manquante",N109)))</formula>
    </cfRule>
    <cfRule type="expression" dxfId="26" priority="20">
      <formula>$N$109&gt;=50%</formula>
    </cfRule>
    <cfRule type="expression" dxfId="25" priority="21">
      <formula>$N$109&lt;50%</formula>
    </cfRule>
  </conditionalFormatting>
  <conditionalFormatting sqref="N113:O115">
    <cfRule type="containsText" dxfId="24" priority="13" operator="containsText" text="Information manquante">
      <formula>NOT(ISERROR(SEARCH("Information manquante",N113)))</formula>
    </cfRule>
    <cfRule type="expression" dxfId="23" priority="14">
      <formula>$N$113&lt;=150%</formula>
    </cfRule>
    <cfRule type="expression" dxfId="22" priority="15">
      <formula>$N$113&gt;150%</formula>
    </cfRule>
  </conditionalFormatting>
  <conditionalFormatting sqref="R93:S95">
    <cfRule type="containsText" dxfId="21" priority="48" operator="containsText" text="Information manquante">
      <formula>NOT(ISERROR(SEARCH("Information manquante",R93)))</formula>
    </cfRule>
    <cfRule type="expression" dxfId="20" priority="53">
      <formula>AND($R$93&gt;=100%,$R$93&lt;200%)</formula>
    </cfRule>
    <cfRule type="expression" dxfId="19" priority="54">
      <formula>$R$93&gt;=200%</formula>
    </cfRule>
    <cfRule type="expression" dxfId="18" priority="55">
      <formula>$R$93&lt;100%</formula>
    </cfRule>
  </conditionalFormatting>
  <conditionalFormatting sqref="R97:S99">
    <cfRule type="containsText" dxfId="17" priority="43" operator="containsText" text="Information manquante">
      <formula>NOT(ISERROR(SEARCH("Information manquante",R97)))</formula>
    </cfRule>
    <cfRule type="expression" dxfId="16" priority="49">
      <formula>$R$97&lt;35%</formula>
    </cfRule>
    <cfRule type="expression" dxfId="15" priority="50">
      <formula>$R$97&gt;=35%</formula>
    </cfRule>
  </conditionalFormatting>
  <conditionalFormatting sqref="R101:S103">
    <cfRule type="containsText" dxfId="14" priority="31" operator="containsText" text="Information manquante">
      <formula>NOT(ISERROR(SEARCH("Information manquante",R101)))</formula>
    </cfRule>
    <cfRule type="expression" dxfId="13" priority="32">
      <formula>$R$101&lt;100%</formula>
    </cfRule>
    <cfRule type="expression" dxfId="12" priority="33">
      <formula>$R$101&gt;=100%</formula>
    </cfRule>
  </conditionalFormatting>
  <conditionalFormatting sqref="R105:S107">
    <cfRule type="containsText" dxfId="11" priority="22" operator="containsText" text="Information manquante">
      <formula>NOT(ISERROR(SEARCH("Information manquante",R105)))</formula>
    </cfRule>
    <cfRule type="expression" dxfId="10" priority="23">
      <formula>$R$105&gt;=50%</formula>
    </cfRule>
    <cfRule type="expression" dxfId="9" priority="24">
      <formula>$R$105&lt;50%</formula>
    </cfRule>
  </conditionalFormatting>
  <conditionalFormatting sqref="R109:S111">
    <cfRule type="containsText" dxfId="8" priority="7" operator="containsText" text="Information manquante">
      <formula>NOT(ISERROR(SEARCH("Information manquante",R109)))</formula>
    </cfRule>
    <cfRule type="expression" dxfId="7" priority="8">
      <formula>$R$109&gt;=50%</formula>
    </cfRule>
    <cfRule type="expression" dxfId="6" priority="9">
      <formula>$R$109&lt;50%</formula>
    </cfRule>
  </conditionalFormatting>
  <conditionalFormatting sqref="R113:S115">
    <cfRule type="containsText" dxfId="5" priority="10" operator="containsText" text="Information manquante">
      <formula>NOT(ISERROR(SEARCH("Information manquante",R113)))</formula>
    </cfRule>
    <cfRule type="expression" dxfId="4" priority="11">
      <formula>$R$113&lt;=150%</formula>
    </cfRule>
    <cfRule type="expression" dxfId="3" priority="12">
      <formula>$R$113&gt;150%</formula>
    </cfRule>
  </conditionalFormatting>
  <dataValidations count="4">
    <dataValidation type="list" allowBlank="1" showInputMessage="1" showErrorMessage="1" sqref="I9:L9">
      <formula1>Periode_analyse</formula1>
    </dataValidation>
    <dataValidation type="list" allowBlank="1" showInputMessage="1" showErrorMessage="1" sqref="G39:H39">
      <formula1>ChiffreAffaire</formula1>
    </dataValidation>
    <dataValidation type="list" allowBlank="1" showInputMessage="1" showErrorMessage="1" sqref="G41:H41">
      <formula1>MargeBrute</formula1>
    </dataValidation>
    <dataValidation type="list" allowBlank="1" showInputMessage="1" showErrorMessage="1" sqref="E90:H90">
      <formula1>"Capacité de remb. déclarée,Capacité de remb. calculée"</formula1>
    </dataValidation>
  </dataValidations>
  <pageMargins left="0.511811023622047" right="0.511811023622047" top="0.55118110236220497" bottom="0.55118110236220497" header="0.31496062992126" footer="0.31496062992126"/>
  <pageSetup paperSize="9" scale="80" orientation="portrait" r:id="rId1"/>
  <headerFooter>
    <oddHeader>&amp;L&amp;G&amp;C&amp;F</oddHeader>
    <oddFooter>&amp;L&amp;8Crédit Rural de Guinée</oddFooter>
  </headerFooter>
  <ignoredErrors>
    <ignoredError sqref="C84" evalError="1"/>
    <ignoredError sqref="Q57 M57 Q41 M41" unlockedFormula="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4" id="{A7818DB1-717D-4D99-94A3-92909E947014}">
            <xm:f>CRG!$Y$84&lt;CRG!$W$86</xm:f>
            <x14:dxf>
              <font>
                <b/>
                <i val="0"/>
                <color theme="0"/>
              </font>
              <fill>
                <patternFill patternType="solid">
                  <bgColor rgb="FFC00000"/>
                </patternFill>
              </fill>
            </x14:dxf>
          </x14:cfRule>
          <xm:sqref>C65:T65</xm:sqref>
        </x14:conditionalFormatting>
        <x14:conditionalFormatting xmlns:xm="http://schemas.microsoft.com/office/excel/2006/main">
          <x14:cfRule type="expression" priority="5" id="{35C4BE49-0817-4FA6-A172-5C371BBE551C}">
            <xm:f>CRG!$W$81&gt;CRG!$W$80</xm:f>
            <x14:dxf>
              <font>
                <b/>
                <i val="0"/>
                <color theme="0"/>
              </font>
              <fill>
                <patternFill patternType="solid">
                  <bgColor rgb="FFC00000"/>
                </patternFill>
              </fill>
            </x14:dxf>
          </x14:cfRule>
          <xm:sqref>C84:T84</xm:sqref>
        </x14:conditionalFormatting>
        <x14:conditionalFormatting xmlns:xm="http://schemas.microsoft.com/office/excel/2006/main">
          <x14:cfRule type="expression" priority="1" id="{48356DDE-FCAC-4F02-945C-A2909D28CCD1}">
            <xm:f>Demande!$I$47="Bon de commande"</xm:f>
            <x14:dxf>
              <font>
                <color theme="0"/>
              </font>
              <fill>
                <patternFill patternType="solid">
                  <bgColor theme="0"/>
                </patternFill>
              </fill>
              <border>
                <left/>
                <right/>
                <top/>
                <bottom/>
              </border>
            </x14:dxf>
          </x14:cfRule>
          <xm:sqref>I9:L9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U52"/>
  <sheetViews>
    <sheetView showGridLines="0" showRowColHeaders="0" topLeftCell="A10" workbookViewId="0">
      <selection activeCell="C13" sqref="C13:P17"/>
    </sheetView>
  </sheetViews>
  <sheetFormatPr baseColWidth="10" defaultColWidth="11.5" defaultRowHeight="13.5"/>
  <cols>
    <col min="1" max="1" width="11.5" style="2"/>
    <col min="2" max="2" width="4.625" style="2" customWidth="1"/>
    <col min="3" max="3" width="21.25" style="2" customWidth="1"/>
    <col min="4" max="4" width="7.5" style="2" customWidth="1"/>
    <col min="5" max="5" width="2" style="2" customWidth="1"/>
    <col min="6" max="6" width="11.5" style="2"/>
    <col min="7" max="7" width="8.5" style="2" customWidth="1"/>
    <col min="8" max="8" width="4.375" style="2" customWidth="1"/>
    <col min="9" max="9" width="6" style="2" customWidth="1"/>
    <col min="10" max="10" width="3.625" style="2" hidden="1" customWidth="1"/>
    <col min="11" max="11" width="3.5" style="2" hidden="1" customWidth="1"/>
    <col min="12" max="12" width="11.5" style="2" customWidth="1"/>
    <col min="13" max="13" width="6.875" style="2" customWidth="1"/>
    <col min="14" max="14" width="4" style="2" customWidth="1"/>
    <col min="15" max="15" width="5.5" style="2" customWidth="1"/>
    <col min="16" max="16" width="7.75" style="2" customWidth="1"/>
    <col min="17" max="17" width="2.875" style="2" customWidth="1"/>
    <col min="18" max="16384" width="11.5" style="2"/>
  </cols>
  <sheetData>
    <row r="2" spans="2:21">
      <c r="B2" s="594" t="s">
        <v>413</v>
      </c>
      <c r="C2" s="594"/>
      <c r="D2" s="594"/>
      <c r="E2" s="594"/>
      <c r="F2" s="594"/>
      <c r="G2" s="594"/>
      <c r="H2" s="594"/>
      <c r="I2" s="594"/>
      <c r="J2" s="594"/>
      <c r="K2" s="594"/>
      <c r="L2" s="594"/>
      <c r="M2" s="594"/>
      <c r="N2" s="594"/>
      <c r="O2" s="594"/>
      <c r="P2" s="594"/>
      <c r="Q2" s="594"/>
    </row>
    <row r="3" spans="2:21" ht="24" customHeight="1">
      <c r="B3" s="3" t="s">
        <v>351</v>
      </c>
      <c r="C3" s="3"/>
      <c r="D3" s="3"/>
    </row>
    <row r="5" spans="2:21">
      <c r="B5" s="341" t="s">
        <v>352</v>
      </c>
      <c r="C5" s="341"/>
      <c r="E5" s="341" t="str">
        <f>IF('Collecte des données'!I3="","",'Collecte des données'!I3)</f>
        <v>BARRY AISSATOU BOBO</v>
      </c>
      <c r="F5" s="341"/>
      <c r="G5" s="341"/>
      <c r="H5" s="341"/>
      <c r="I5" s="341"/>
      <c r="J5" s="341"/>
      <c r="K5" s="341"/>
      <c r="L5" s="341"/>
      <c r="M5" s="595" t="s">
        <v>247</v>
      </c>
      <c r="N5" s="595"/>
      <c r="O5" s="596">
        <f>IF('Collecte des données'!R3="","",'Collecte des données'!R3)</f>
        <v>95240025289</v>
      </c>
      <c r="P5" s="596"/>
      <c r="Q5" s="596"/>
    </row>
    <row r="6" spans="2:21">
      <c r="J6" s="11"/>
      <c r="K6" s="11"/>
      <c r="L6" s="11"/>
      <c r="M6" s="11"/>
      <c r="N6" s="11"/>
      <c r="O6" s="11"/>
      <c r="P6" s="11"/>
      <c r="Q6" s="11"/>
      <c r="R6" s="11"/>
      <c r="S6" s="11"/>
    </row>
    <row r="7" spans="2:21">
      <c r="B7" s="341" t="s">
        <v>353</v>
      </c>
      <c r="C7" s="341"/>
      <c r="D7" s="597">
        <f>IF('Collecte des données'!D3="","",'Collecte des données'!D3)</f>
        <v>46038</v>
      </c>
      <c r="E7" s="597"/>
      <c r="F7" s="597"/>
      <c r="J7" s="11"/>
      <c r="K7" s="11"/>
      <c r="L7" s="11"/>
      <c r="M7" s="11"/>
      <c r="N7" s="11"/>
      <c r="O7" s="11"/>
      <c r="P7" s="11"/>
      <c r="Q7" s="11"/>
      <c r="R7" s="11"/>
      <c r="S7" s="11"/>
      <c r="U7" s="12"/>
    </row>
    <row r="9" spans="2:21" ht="18.75">
      <c r="B9" s="4" t="s">
        <v>184</v>
      </c>
      <c r="C9" s="293" t="s">
        <v>414</v>
      </c>
      <c r="D9" s="293"/>
      <c r="E9" s="293"/>
      <c r="F9" s="293"/>
      <c r="G9" s="5"/>
      <c r="H9" s="5"/>
      <c r="I9" s="5"/>
      <c r="J9" s="5"/>
      <c r="K9" s="5"/>
      <c r="L9" s="5"/>
      <c r="M9" s="5"/>
      <c r="N9" s="5"/>
      <c r="O9" s="5"/>
      <c r="P9" s="5"/>
      <c r="Q9" s="13"/>
    </row>
    <row r="10" spans="2:21" ht="6" customHeight="1">
      <c r="B10" s="6"/>
      <c r="Q10" s="14"/>
    </row>
    <row r="11" spans="2:21" ht="16.149999999999999" customHeight="1">
      <c r="B11" s="6"/>
      <c r="C11" s="7" t="s">
        <v>415</v>
      </c>
      <c r="D11" s="8"/>
      <c r="E11" s="8"/>
      <c r="F11" s="8"/>
      <c r="G11" s="8"/>
      <c r="H11" s="8"/>
      <c r="I11" s="8"/>
      <c r="J11" s="8"/>
      <c r="K11" s="8"/>
      <c r="L11" s="8"/>
      <c r="M11" s="8"/>
      <c r="N11" s="8"/>
      <c r="O11" s="8"/>
      <c r="P11" s="8"/>
      <c r="Q11" s="14"/>
    </row>
    <row r="12" spans="2:21" ht="6" customHeight="1">
      <c r="B12" s="6"/>
      <c r="C12" s="8"/>
      <c r="D12" s="8"/>
      <c r="E12" s="8"/>
      <c r="F12" s="8"/>
      <c r="G12" s="8"/>
      <c r="H12" s="8"/>
      <c r="I12" s="8"/>
      <c r="J12" s="8"/>
      <c r="K12" s="8"/>
      <c r="L12" s="8"/>
      <c r="M12" s="8"/>
      <c r="N12" s="8"/>
      <c r="O12" s="8"/>
      <c r="P12" s="8"/>
      <c r="Q12" s="14"/>
    </row>
    <row r="13" spans="2:21" ht="14.65" customHeight="1">
      <c r="B13" s="6"/>
      <c r="C13" s="598"/>
      <c r="D13" s="598"/>
      <c r="E13" s="598"/>
      <c r="F13" s="598"/>
      <c r="G13" s="598"/>
      <c r="H13" s="598"/>
      <c r="I13" s="598"/>
      <c r="J13" s="598"/>
      <c r="K13" s="598"/>
      <c r="L13" s="598"/>
      <c r="M13" s="598"/>
      <c r="N13" s="598"/>
      <c r="O13" s="598"/>
      <c r="P13" s="598"/>
      <c r="Q13" s="14"/>
    </row>
    <row r="14" spans="2:21" ht="14.65" customHeight="1">
      <c r="B14" s="6"/>
      <c r="C14" s="598"/>
      <c r="D14" s="598"/>
      <c r="E14" s="598"/>
      <c r="F14" s="598"/>
      <c r="G14" s="598"/>
      <c r="H14" s="598"/>
      <c r="I14" s="598"/>
      <c r="J14" s="598"/>
      <c r="K14" s="598"/>
      <c r="L14" s="598"/>
      <c r="M14" s="598"/>
      <c r="N14" s="598"/>
      <c r="O14" s="598"/>
      <c r="P14" s="598"/>
      <c r="Q14" s="14"/>
    </row>
    <row r="15" spans="2:21" ht="14.65" customHeight="1">
      <c r="B15" s="6"/>
      <c r="C15" s="598"/>
      <c r="D15" s="598"/>
      <c r="E15" s="598"/>
      <c r="F15" s="598"/>
      <c r="G15" s="598"/>
      <c r="H15" s="598"/>
      <c r="I15" s="598"/>
      <c r="J15" s="598"/>
      <c r="K15" s="598"/>
      <c r="L15" s="598"/>
      <c r="M15" s="598"/>
      <c r="N15" s="598"/>
      <c r="O15" s="598"/>
      <c r="P15" s="598"/>
      <c r="Q15" s="14"/>
    </row>
    <row r="16" spans="2:21" ht="34.15" customHeight="1">
      <c r="B16" s="6"/>
      <c r="C16" s="598"/>
      <c r="D16" s="598"/>
      <c r="E16" s="598"/>
      <c r="F16" s="598"/>
      <c r="G16" s="598"/>
      <c r="H16" s="598"/>
      <c r="I16" s="598"/>
      <c r="J16" s="598"/>
      <c r="K16" s="598"/>
      <c r="L16" s="598"/>
      <c r="M16" s="598"/>
      <c r="N16" s="598"/>
      <c r="O16" s="598"/>
      <c r="P16" s="598"/>
      <c r="Q16" s="14"/>
    </row>
    <row r="17" spans="2:17" ht="24.6" customHeight="1">
      <c r="B17" s="6"/>
      <c r="C17" s="598"/>
      <c r="D17" s="598"/>
      <c r="E17" s="598"/>
      <c r="F17" s="598"/>
      <c r="G17" s="598"/>
      <c r="H17" s="598"/>
      <c r="I17" s="598"/>
      <c r="J17" s="598"/>
      <c r="K17" s="598"/>
      <c r="L17" s="598"/>
      <c r="M17" s="598"/>
      <c r="N17" s="598"/>
      <c r="O17" s="598"/>
      <c r="P17" s="598"/>
      <c r="Q17" s="14"/>
    </row>
    <row r="18" spans="2:17">
      <c r="B18" s="9"/>
      <c r="C18" s="10"/>
      <c r="D18" s="10"/>
      <c r="E18" s="10"/>
      <c r="F18" s="10"/>
      <c r="G18" s="10"/>
      <c r="H18" s="10"/>
      <c r="I18" s="10"/>
      <c r="J18" s="10"/>
      <c r="K18" s="10"/>
      <c r="L18" s="10"/>
      <c r="M18" s="10"/>
      <c r="N18" s="10"/>
      <c r="O18" s="10"/>
      <c r="P18" s="10"/>
      <c r="Q18" s="15"/>
    </row>
    <row r="19" spans="2:17" s="1" customFormat="1" ht="14.65" customHeight="1"/>
    <row r="21" spans="2:17" ht="18.75">
      <c r="B21" s="4" t="s">
        <v>253</v>
      </c>
      <c r="C21" s="293" t="s">
        <v>416</v>
      </c>
      <c r="D21" s="293"/>
      <c r="E21" s="293"/>
      <c r="F21" s="293"/>
      <c r="G21" s="5"/>
      <c r="H21" s="5"/>
      <c r="I21" s="5"/>
      <c r="J21" s="5"/>
      <c r="K21" s="5"/>
      <c r="L21" s="5"/>
      <c r="M21" s="5"/>
      <c r="N21" s="5"/>
      <c r="O21" s="5"/>
      <c r="P21" s="5"/>
      <c r="Q21" s="13"/>
    </row>
    <row r="22" spans="2:17" ht="6" customHeight="1">
      <c r="B22" s="6"/>
      <c r="Q22" s="14"/>
    </row>
    <row r="23" spans="2:17" ht="16.149999999999999" customHeight="1">
      <c r="B23" s="6"/>
      <c r="C23" s="7" t="s">
        <v>415</v>
      </c>
      <c r="D23" s="8"/>
      <c r="E23" s="8"/>
      <c r="F23" s="8"/>
      <c r="G23" s="8"/>
      <c r="H23" s="8"/>
      <c r="I23" s="8"/>
      <c r="J23" s="8"/>
      <c r="K23" s="8"/>
      <c r="L23" s="8"/>
      <c r="M23" s="8"/>
      <c r="N23" s="8"/>
      <c r="O23" s="8"/>
      <c r="P23" s="8"/>
      <c r="Q23" s="14"/>
    </row>
    <row r="24" spans="2:17" ht="6" customHeight="1">
      <c r="B24" s="6"/>
      <c r="C24" s="8"/>
      <c r="D24" s="8"/>
      <c r="E24" s="8"/>
      <c r="F24" s="8"/>
      <c r="G24" s="8"/>
      <c r="H24" s="8"/>
      <c r="I24" s="8"/>
      <c r="J24" s="8"/>
      <c r="K24" s="8"/>
      <c r="L24" s="8"/>
      <c r="M24" s="8"/>
      <c r="N24" s="8"/>
      <c r="O24" s="8"/>
      <c r="P24" s="8"/>
      <c r="Q24" s="14"/>
    </row>
    <row r="25" spans="2:17" ht="14.65" customHeight="1">
      <c r="B25" s="6"/>
      <c r="C25" s="598"/>
      <c r="D25" s="598"/>
      <c r="E25" s="598"/>
      <c r="F25" s="598"/>
      <c r="G25" s="598"/>
      <c r="H25" s="598"/>
      <c r="I25" s="598"/>
      <c r="J25" s="598"/>
      <c r="K25" s="598"/>
      <c r="L25" s="598"/>
      <c r="M25" s="598"/>
      <c r="N25" s="598"/>
      <c r="O25" s="598"/>
      <c r="P25" s="598"/>
      <c r="Q25" s="14"/>
    </row>
    <row r="26" spans="2:17" ht="14.65" customHeight="1">
      <c r="B26" s="6"/>
      <c r="C26" s="598"/>
      <c r="D26" s="598"/>
      <c r="E26" s="598"/>
      <c r="F26" s="598"/>
      <c r="G26" s="598"/>
      <c r="H26" s="598"/>
      <c r="I26" s="598"/>
      <c r="J26" s="598"/>
      <c r="K26" s="598"/>
      <c r="L26" s="598"/>
      <c r="M26" s="598"/>
      <c r="N26" s="598"/>
      <c r="O26" s="598"/>
      <c r="P26" s="598"/>
      <c r="Q26" s="14"/>
    </row>
    <row r="27" spans="2:17" ht="14.65" customHeight="1">
      <c r="B27" s="6"/>
      <c r="C27" s="598"/>
      <c r="D27" s="598"/>
      <c r="E27" s="598"/>
      <c r="F27" s="598"/>
      <c r="G27" s="598"/>
      <c r="H27" s="598"/>
      <c r="I27" s="598"/>
      <c r="J27" s="598"/>
      <c r="K27" s="598"/>
      <c r="L27" s="598"/>
      <c r="M27" s="598"/>
      <c r="N27" s="598"/>
      <c r="O27" s="598"/>
      <c r="P27" s="598"/>
      <c r="Q27" s="14"/>
    </row>
    <row r="28" spans="2:17" ht="34.15" customHeight="1">
      <c r="B28" s="6"/>
      <c r="C28" s="598"/>
      <c r="D28" s="598"/>
      <c r="E28" s="598"/>
      <c r="F28" s="598"/>
      <c r="G28" s="598"/>
      <c r="H28" s="598"/>
      <c r="I28" s="598"/>
      <c r="J28" s="598"/>
      <c r="K28" s="598"/>
      <c r="L28" s="598"/>
      <c r="M28" s="598"/>
      <c r="N28" s="598"/>
      <c r="O28" s="598"/>
      <c r="P28" s="598"/>
      <c r="Q28" s="14"/>
    </row>
    <row r="29" spans="2:17" ht="24.6" customHeight="1">
      <c r="B29" s="6"/>
      <c r="C29" s="598"/>
      <c r="D29" s="598"/>
      <c r="E29" s="598"/>
      <c r="F29" s="598"/>
      <c r="G29" s="598"/>
      <c r="H29" s="598"/>
      <c r="I29" s="598"/>
      <c r="J29" s="598"/>
      <c r="K29" s="598"/>
      <c r="L29" s="598"/>
      <c r="M29" s="598"/>
      <c r="N29" s="598"/>
      <c r="O29" s="598"/>
      <c r="P29" s="598"/>
      <c r="Q29" s="14"/>
    </row>
    <row r="30" spans="2:17">
      <c r="B30" s="9"/>
      <c r="C30" s="10"/>
      <c r="D30" s="10"/>
      <c r="E30" s="10"/>
      <c r="F30" s="10"/>
      <c r="G30" s="10"/>
      <c r="H30" s="10"/>
      <c r="I30" s="10"/>
      <c r="J30" s="10"/>
      <c r="K30" s="10"/>
      <c r="L30" s="10"/>
      <c r="M30" s="10"/>
      <c r="N30" s="10"/>
      <c r="O30" s="10"/>
      <c r="P30" s="10"/>
      <c r="Q30" s="15"/>
    </row>
    <row r="32" spans="2:17" ht="18.75">
      <c r="B32" s="4" t="s">
        <v>211</v>
      </c>
      <c r="C32" s="293" t="s">
        <v>417</v>
      </c>
      <c r="D32" s="293"/>
      <c r="E32" s="293"/>
      <c r="F32" s="293"/>
      <c r="G32" s="5"/>
      <c r="H32" s="5"/>
      <c r="I32" s="5"/>
      <c r="J32" s="5"/>
      <c r="K32" s="5"/>
      <c r="L32" s="5"/>
      <c r="M32" s="5"/>
      <c r="N32" s="5"/>
      <c r="O32" s="5"/>
      <c r="P32" s="5"/>
      <c r="Q32" s="13"/>
    </row>
    <row r="33" spans="2:17" ht="6" customHeight="1">
      <c r="B33" s="6"/>
      <c r="Q33" s="14"/>
    </row>
    <row r="34" spans="2:17" ht="16.149999999999999" customHeight="1">
      <c r="B34" s="6"/>
      <c r="C34" s="7" t="s">
        <v>415</v>
      </c>
      <c r="D34" s="8"/>
      <c r="E34" s="8"/>
      <c r="F34" s="8"/>
      <c r="G34" s="8"/>
      <c r="H34" s="8"/>
      <c r="I34" s="8"/>
      <c r="J34" s="8"/>
      <c r="K34" s="8"/>
      <c r="L34" s="8"/>
      <c r="M34" s="8"/>
      <c r="N34" s="8"/>
      <c r="O34" s="8"/>
      <c r="P34" s="8"/>
      <c r="Q34" s="14"/>
    </row>
    <row r="35" spans="2:17" ht="6" customHeight="1">
      <c r="B35" s="6"/>
      <c r="C35" s="8"/>
      <c r="D35" s="8"/>
      <c r="E35" s="8"/>
      <c r="F35" s="8"/>
      <c r="G35" s="8"/>
      <c r="H35" s="8"/>
      <c r="I35" s="8"/>
      <c r="J35" s="8"/>
      <c r="K35" s="8"/>
      <c r="L35" s="8"/>
      <c r="M35" s="8"/>
      <c r="N35" s="8"/>
      <c r="O35" s="8"/>
      <c r="P35" s="8"/>
      <c r="Q35" s="14"/>
    </row>
    <row r="36" spans="2:17" ht="14.65" customHeight="1">
      <c r="B36" s="6"/>
      <c r="C36" s="598"/>
      <c r="D36" s="598"/>
      <c r="E36" s="598"/>
      <c r="F36" s="598"/>
      <c r="G36" s="598"/>
      <c r="H36" s="598"/>
      <c r="I36" s="598"/>
      <c r="J36" s="598"/>
      <c r="K36" s="598"/>
      <c r="L36" s="598"/>
      <c r="M36" s="598"/>
      <c r="N36" s="598"/>
      <c r="O36" s="598"/>
      <c r="P36" s="598"/>
      <c r="Q36" s="14"/>
    </row>
    <row r="37" spans="2:17" ht="14.65" customHeight="1">
      <c r="B37" s="6"/>
      <c r="C37" s="598"/>
      <c r="D37" s="598"/>
      <c r="E37" s="598"/>
      <c r="F37" s="598"/>
      <c r="G37" s="598"/>
      <c r="H37" s="598"/>
      <c r="I37" s="598"/>
      <c r="J37" s="598"/>
      <c r="K37" s="598"/>
      <c r="L37" s="598"/>
      <c r="M37" s="598"/>
      <c r="N37" s="598"/>
      <c r="O37" s="598"/>
      <c r="P37" s="598"/>
      <c r="Q37" s="14"/>
    </row>
    <row r="38" spans="2:17" ht="14.65" customHeight="1">
      <c r="B38" s="6"/>
      <c r="C38" s="598"/>
      <c r="D38" s="598"/>
      <c r="E38" s="598"/>
      <c r="F38" s="598"/>
      <c r="G38" s="598"/>
      <c r="H38" s="598"/>
      <c r="I38" s="598"/>
      <c r="J38" s="598"/>
      <c r="K38" s="598"/>
      <c r="L38" s="598"/>
      <c r="M38" s="598"/>
      <c r="N38" s="598"/>
      <c r="O38" s="598"/>
      <c r="P38" s="598"/>
      <c r="Q38" s="14"/>
    </row>
    <row r="39" spans="2:17" ht="34.15" customHeight="1">
      <c r="B39" s="6"/>
      <c r="C39" s="598"/>
      <c r="D39" s="598"/>
      <c r="E39" s="598"/>
      <c r="F39" s="598"/>
      <c r="G39" s="598"/>
      <c r="H39" s="598"/>
      <c r="I39" s="598"/>
      <c r="J39" s="598"/>
      <c r="K39" s="598"/>
      <c r="L39" s="598"/>
      <c r="M39" s="598"/>
      <c r="N39" s="598"/>
      <c r="O39" s="598"/>
      <c r="P39" s="598"/>
      <c r="Q39" s="14"/>
    </row>
    <row r="40" spans="2:17" ht="24.6" customHeight="1">
      <c r="B40" s="6"/>
      <c r="C40" s="598"/>
      <c r="D40" s="598"/>
      <c r="E40" s="598"/>
      <c r="F40" s="598"/>
      <c r="G40" s="598"/>
      <c r="H40" s="598"/>
      <c r="I40" s="598"/>
      <c r="J40" s="598"/>
      <c r="K40" s="598"/>
      <c r="L40" s="598"/>
      <c r="M40" s="598"/>
      <c r="N40" s="598"/>
      <c r="O40" s="598"/>
      <c r="P40" s="598"/>
      <c r="Q40" s="14"/>
    </row>
    <row r="41" spans="2:17">
      <c r="B41" s="9"/>
      <c r="C41" s="10"/>
      <c r="D41" s="10"/>
      <c r="E41" s="10"/>
      <c r="F41" s="10"/>
      <c r="G41" s="10"/>
      <c r="H41" s="10"/>
      <c r="I41" s="10"/>
      <c r="J41" s="10"/>
      <c r="K41" s="10"/>
      <c r="L41" s="10"/>
      <c r="M41" s="10"/>
      <c r="N41" s="10"/>
      <c r="O41" s="10"/>
      <c r="P41" s="10"/>
      <c r="Q41" s="15"/>
    </row>
    <row r="43" spans="2:17" ht="18.75">
      <c r="B43" s="4" t="s">
        <v>230</v>
      </c>
      <c r="C43" s="293" t="s">
        <v>418</v>
      </c>
      <c r="D43" s="293"/>
      <c r="E43" s="293"/>
      <c r="F43" s="293"/>
      <c r="G43" s="5"/>
      <c r="H43" s="5"/>
      <c r="I43" s="5"/>
      <c r="J43" s="5"/>
      <c r="K43" s="5"/>
      <c r="L43" s="5"/>
      <c r="M43" s="5"/>
      <c r="N43" s="5"/>
      <c r="O43" s="5"/>
      <c r="P43" s="5"/>
      <c r="Q43" s="13"/>
    </row>
    <row r="44" spans="2:17" ht="6" customHeight="1">
      <c r="B44" s="6"/>
      <c r="Q44" s="14"/>
    </row>
    <row r="45" spans="2:17" ht="16.149999999999999" customHeight="1">
      <c r="B45" s="6"/>
      <c r="C45" s="7" t="s">
        <v>415</v>
      </c>
      <c r="D45" s="8"/>
      <c r="E45" s="8"/>
      <c r="F45" s="8"/>
      <c r="G45" s="8"/>
      <c r="H45" s="8"/>
      <c r="I45" s="8"/>
      <c r="J45" s="8"/>
      <c r="K45" s="8"/>
      <c r="L45" s="8"/>
      <c r="M45" s="8"/>
      <c r="N45" s="8"/>
      <c r="O45" s="8"/>
      <c r="P45" s="8"/>
      <c r="Q45" s="14"/>
    </row>
    <row r="46" spans="2:17" ht="6" customHeight="1">
      <c r="B46" s="6"/>
      <c r="C46" s="8"/>
      <c r="D46" s="8"/>
      <c r="E46" s="8"/>
      <c r="F46" s="8"/>
      <c r="G46" s="8"/>
      <c r="H46" s="8"/>
      <c r="I46" s="8"/>
      <c r="J46" s="8"/>
      <c r="K46" s="8"/>
      <c r="L46" s="8"/>
      <c r="M46" s="8"/>
      <c r="N46" s="8"/>
      <c r="O46" s="8"/>
      <c r="P46" s="8"/>
      <c r="Q46" s="14"/>
    </row>
    <row r="47" spans="2:17" ht="14.65" customHeight="1">
      <c r="B47" s="6"/>
      <c r="C47" s="598"/>
      <c r="D47" s="598"/>
      <c r="E47" s="598"/>
      <c r="F47" s="598"/>
      <c r="G47" s="598"/>
      <c r="H47" s="598"/>
      <c r="I47" s="598"/>
      <c r="J47" s="598"/>
      <c r="K47" s="598"/>
      <c r="L47" s="598"/>
      <c r="M47" s="598"/>
      <c r="N47" s="598"/>
      <c r="O47" s="598"/>
      <c r="P47" s="598"/>
      <c r="Q47" s="14"/>
    </row>
    <row r="48" spans="2:17" ht="14.65" customHeight="1">
      <c r="B48" s="6"/>
      <c r="C48" s="598"/>
      <c r="D48" s="598"/>
      <c r="E48" s="598"/>
      <c r="F48" s="598"/>
      <c r="G48" s="598"/>
      <c r="H48" s="598"/>
      <c r="I48" s="598"/>
      <c r="J48" s="598"/>
      <c r="K48" s="598"/>
      <c r="L48" s="598"/>
      <c r="M48" s="598"/>
      <c r="N48" s="598"/>
      <c r="O48" s="598"/>
      <c r="P48" s="598"/>
      <c r="Q48" s="14"/>
    </row>
    <row r="49" spans="2:17" ht="14.65" customHeight="1">
      <c r="B49" s="6"/>
      <c r="C49" s="598"/>
      <c r="D49" s="598"/>
      <c r="E49" s="598"/>
      <c r="F49" s="598"/>
      <c r="G49" s="598"/>
      <c r="H49" s="598"/>
      <c r="I49" s="598"/>
      <c r="J49" s="598"/>
      <c r="K49" s="598"/>
      <c r="L49" s="598"/>
      <c r="M49" s="598"/>
      <c r="N49" s="598"/>
      <c r="O49" s="598"/>
      <c r="P49" s="598"/>
      <c r="Q49" s="14"/>
    </row>
    <row r="50" spans="2:17" ht="34.15" customHeight="1">
      <c r="B50" s="6"/>
      <c r="C50" s="598"/>
      <c r="D50" s="598"/>
      <c r="E50" s="598"/>
      <c r="F50" s="598"/>
      <c r="G50" s="598"/>
      <c r="H50" s="598"/>
      <c r="I50" s="598"/>
      <c r="J50" s="598"/>
      <c r="K50" s="598"/>
      <c r="L50" s="598"/>
      <c r="M50" s="598"/>
      <c r="N50" s="598"/>
      <c r="O50" s="598"/>
      <c r="P50" s="598"/>
      <c r="Q50" s="14"/>
    </row>
    <row r="51" spans="2:17" ht="24.6" customHeight="1">
      <c r="B51" s="6"/>
      <c r="C51" s="598"/>
      <c r="D51" s="598"/>
      <c r="E51" s="598"/>
      <c r="F51" s="598"/>
      <c r="G51" s="598"/>
      <c r="H51" s="598"/>
      <c r="I51" s="598"/>
      <c r="J51" s="598"/>
      <c r="K51" s="598"/>
      <c r="L51" s="598"/>
      <c r="M51" s="598"/>
      <c r="N51" s="598"/>
      <c r="O51" s="598"/>
      <c r="P51" s="598"/>
      <c r="Q51" s="14"/>
    </row>
    <row r="52" spans="2:17">
      <c r="B52" s="9"/>
      <c r="C52" s="10"/>
      <c r="D52" s="10"/>
      <c r="E52" s="10"/>
      <c r="F52" s="10"/>
      <c r="G52" s="10"/>
      <c r="H52" s="10"/>
      <c r="I52" s="10"/>
      <c r="J52" s="10"/>
      <c r="K52" s="10"/>
      <c r="L52" s="10"/>
      <c r="M52" s="10"/>
      <c r="N52" s="10"/>
      <c r="O52" s="10"/>
      <c r="P52" s="10"/>
      <c r="Q52" s="15"/>
    </row>
  </sheetData>
  <sheetProtection algorithmName="SHA-512" hashValue="AgSvAcD/ach8EwJeWh/1PAcAtelMCQjL7jdqarhzEUCufTqWQKU9hPZ2VU3WwBcaJC8e34mbm45xYWwvVlxf/g==" saltValue="bah6yvbY6LQCCTLF8IQf6A==" spinCount="100000" sheet="1" objects="1" scenarios="1" selectLockedCells="1"/>
  <mergeCells count="15">
    <mergeCell ref="C43:F43"/>
    <mergeCell ref="C47:P51"/>
    <mergeCell ref="C36:P40"/>
    <mergeCell ref="C25:P29"/>
    <mergeCell ref="C13:P17"/>
    <mergeCell ref="B7:C7"/>
    <mergeCell ref="D7:F7"/>
    <mergeCell ref="C9:F9"/>
    <mergeCell ref="C21:F21"/>
    <mergeCell ref="C32:F32"/>
    <mergeCell ref="B2:Q2"/>
    <mergeCell ref="B5:C5"/>
    <mergeCell ref="E5:L5"/>
    <mergeCell ref="M5:N5"/>
    <mergeCell ref="O5:Q5"/>
  </mergeCells>
  <pageMargins left="0.70866141732283505" right="0.70866141732283505" top="0.74803149606299202" bottom="0.74803149606299202" header="0.31496062992126" footer="0.31496062992126"/>
  <pageSetup paperSize="9" scale="8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1" master="" otherUserPermission="visible"/>
  <rangeList sheetStid="7" master="" otherUserPermission="visible"/>
  <rangeList sheetStid="4"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23</vt:i4>
      </vt:variant>
    </vt:vector>
  </HeadingPairs>
  <TitlesOfParts>
    <vt:vector size="29" baseType="lpstr">
      <vt:lpstr>CRG</vt:lpstr>
      <vt:lpstr>Demande</vt:lpstr>
      <vt:lpstr>Collecte des données</vt:lpstr>
      <vt:lpstr>Amorts</vt:lpstr>
      <vt:lpstr>Analyse</vt:lpstr>
      <vt:lpstr>Avis</vt:lpstr>
      <vt:lpstr>Activites1</vt:lpstr>
      <vt:lpstr>AGRICULTURE</vt:lpstr>
      <vt:lpstr>ARTISANAT</vt:lpstr>
      <vt:lpstr>Autre</vt:lpstr>
      <vt:lpstr>ChiffreAffaire</vt:lpstr>
      <vt:lpstr>COMMERCE</vt:lpstr>
      <vt:lpstr>Commercialisation</vt:lpstr>
      <vt:lpstr>Immobilisations</vt:lpstr>
      <vt:lpstr>INDUSTRIE</vt:lpstr>
      <vt:lpstr>MargeBrute</vt:lpstr>
      <vt:lpstr>Periode_analyse</vt:lpstr>
      <vt:lpstr>Periodicite</vt:lpstr>
      <vt:lpstr>Production_animale</vt:lpstr>
      <vt:lpstr>Production_vegetale</vt:lpstr>
      <vt:lpstr>Production_végétale</vt:lpstr>
      <vt:lpstr>SERVICE</vt:lpstr>
      <vt:lpstr>Simulation</vt:lpstr>
      <vt:lpstr>Transformation</vt:lpstr>
      <vt:lpstr>Amorts!Zone_d_impression</vt:lpstr>
      <vt:lpstr>Analyse!Zone_d_impression</vt:lpstr>
      <vt:lpstr>Avis!Zone_d_impression</vt:lpstr>
      <vt:lpstr>'Collecte des données'!Zone_d_impression</vt:lpstr>
      <vt:lpstr>Demande!Zone_d_impression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Soglohoun, Narcisse</dc:creator>
  <cp:lastModifiedBy>AGENT</cp:lastModifiedBy>
  <cp:lastPrinted>2026-02-10T15:35:19Z</cp:lastPrinted>
  <dcterms:created xsi:type="dcterms:W3CDTF">2024-08-24T08:37:00Z</dcterms:created>
  <dcterms:modified xsi:type="dcterms:W3CDTF">2026-02-10T15:39:48Z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ab6998-18c9-4fac-a471-b18bc4ecc3e7_Enabled">
    <vt:lpwstr>true</vt:lpwstr>
  </property>
  <property fmtid="{D5CDD505-2E9C-101B-9397-08002B2CF9AE}" pid="3" name="MSIP_Label_c6ab6998-18c9-4fac-a471-b18bc4ecc3e7_SetDate">
    <vt:lpwstr>2024-08-24T08:37:31Z</vt:lpwstr>
  </property>
  <property fmtid="{D5CDD505-2E9C-101B-9397-08002B2CF9AE}" pid="4" name="MSIP_Label_c6ab6998-18c9-4fac-a471-b18bc4ecc3e7_Method">
    <vt:lpwstr>Standard</vt:lpwstr>
  </property>
  <property fmtid="{D5CDD505-2E9C-101B-9397-08002B2CF9AE}" pid="5" name="MSIP_Label_c6ab6998-18c9-4fac-a471-b18bc4ecc3e7_Name">
    <vt:lpwstr>Usage interne</vt:lpwstr>
  </property>
  <property fmtid="{D5CDD505-2E9C-101B-9397-08002B2CF9AE}" pid="6" name="MSIP_Label_c6ab6998-18c9-4fac-a471-b18bc4ecc3e7_SiteId">
    <vt:lpwstr>6febe625-b7a4-4ae7-a863-62a583d469b8</vt:lpwstr>
  </property>
  <property fmtid="{D5CDD505-2E9C-101B-9397-08002B2CF9AE}" pid="7" name="MSIP_Label_c6ab6998-18c9-4fac-a471-b18bc4ecc3e7_ActionId">
    <vt:lpwstr>7ed2e744-0ff8-4834-9833-878998886576</vt:lpwstr>
  </property>
  <property fmtid="{D5CDD505-2E9C-101B-9397-08002B2CF9AE}" pid="8" name="MSIP_Label_c6ab6998-18c9-4fac-a471-b18bc4ecc3e7_ContentBits">
    <vt:lpwstr>2</vt:lpwstr>
  </property>
  <property fmtid="{D5CDD505-2E9C-101B-9397-08002B2CF9AE}" pid="9" name="ICV">
    <vt:lpwstr>66E1ACA3AC5E4C3492E9DF1756D41797_12</vt:lpwstr>
  </property>
  <property fmtid="{D5CDD505-2E9C-101B-9397-08002B2CF9AE}" pid="10" name="KSOProductBuildVer">
    <vt:lpwstr>1036-12.2.0.20782</vt:lpwstr>
  </property>
</Properties>
</file>