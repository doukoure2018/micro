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drawings/drawing8.xml" ContentType="application/vnd.openxmlformats-officedocument.drawing+xml"/>
  <Override PartName="/xl/comments10.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000\Downloads\"/>
    </mc:Choice>
  </mc:AlternateContent>
  <xr:revisionPtr revIDLastSave="0" documentId="13_ncr:1_{267DC79D-83E5-493B-B163-79B59AA3B7D6}" xr6:coauthVersionLast="47" xr6:coauthVersionMax="47" xr10:uidLastSave="{00000000-0000-0000-0000-000000000000}"/>
  <bookViews>
    <workbookView xWindow="-108" yWindow="-108" windowWidth="23256" windowHeight="13896" activeTab="1" xr2:uid="{00000000-000D-0000-FFFF-FFFF00000000}"/>
  </bookViews>
  <sheets>
    <sheet name="Modele" sheetId="1" r:id="rId1"/>
    <sheet name="." sheetId="2" r:id="rId2"/>
    <sheet name="PARAMETRAGE" sheetId="3" state="hidden" r:id="rId3"/>
    <sheet name="GRILLE" sheetId="4" state="hidden" r:id="rId4"/>
    <sheet name="1. DEMANDE" sheetId="5" r:id="rId5"/>
    <sheet name="2. PROD" sheetId="6" r:id="rId6"/>
    <sheet name="3. BILAN" sheetId="7" r:id="rId7"/>
    <sheet name="4. BUDGET FAMILIAL" sheetId="8" r:id="rId8"/>
    <sheet name="5. RESULTAT" sheetId="9" r:id="rId9"/>
    <sheet name="6. MATRICE" sheetId="10" r:id="rId10"/>
    <sheet name="7. RISQUE" sheetId="11" r:id="rId11"/>
    <sheet name="8. PROPOSITION" sheetId="12" r:id="rId12"/>
    <sheet name="TRFM1" sheetId="13" r:id="rId13"/>
    <sheet name="TRFM2" sheetId="14" r:id="rId14"/>
    <sheet name="TRFM3" sheetId="15" r:id="rId15"/>
    <sheet name="COMM" sheetId="16" r:id="rId16"/>
    <sheet name="ANIMAL" sheetId="17" r:id="rId17"/>
    <sheet name="BIENS" sheetId="18" r:id="rId18"/>
  </sheets>
  <definedNames>
    <definedName name="AGRICULTURE" localSheetId="1">'.'!$AC$2:$AC$5</definedName>
    <definedName name="AGRICULTURE">PARAMETRAGE!$AC$2:$AC$5</definedName>
    <definedName name="ALIBORI" localSheetId="1">'.'!$P$2:$P$7</definedName>
    <definedName name="ALIBORI">PARAMETRAGE!$P$2:$P$7</definedName>
    <definedName name="Alimentation">PARAMETRAGE!$AD$4</definedName>
    <definedName name="ARTISANAT" localSheetId="1">'.'!$AE$2:$AE$9</definedName>
    <definedName name="ARTISANAT">PARAMETRAGE!$AE$2:$AE$9</definedName>
    <definedName name="Assistance">PARAMETRAGE!$AF$3</definedName>
    <definedName name="ATACORA" localSheetId="1">'.'!$Q$2:$Q$10</definedName>
    <definedName name="ATACORA">PARAMETRAGE!$Q$2:$Q$10</definedName>
    <definedName name="ATLANTIQUE" localSheetId="1">'.'!$R$2:$R$9</definedName>
    <definedName name="ATLANTIQUE">PARAMETRAGE!$R$2:$R$9</definedName>
    <definedName name="Auto_école">PARAMETRAGE!$AF$5</definedName>
    <definedName name="Autre" localSheetId="1">'.'!$AM$1</definedName>
    <definedName name="Autre">PARAMETRAGE!$AM$1</definedName>
    <definedName name="Autres_revenus" localSheetId="1">'.'!$CP$1:$CP$6</definedName>
    <definedName name="Autres_revenus">PARAMETRAGE!$CP$1:$CP$6</definedName>
    <definedName name="Boffa">PARAMETRAGE!$Q$9:$Q$16</definedName>
    <definedName name="BOKÉ">PARAMETRAGE!$Q$2:$Q$6</definedName>
    <definedName name="Boké_">PARAMETRAGE!$R$9:$R$18</definedName>
    <definedName name="BORGOU" localSheetId="1">'.'!$S$2:$S$9</definedName>
    <definedName name="BORGOU">PARAMETRAGE!$S$2:$S$9</definedName>
    <definedName name="Charges_exploitation" localSheetId="1">'.'!$K$1:$K$26</definedName>
    <definedName name="Charges_exploitation">PARAMETRAGE!$K$1:$K$26</definedName>
    <definedName name="Coiffure">PARAMETRAGE!$AE$4</definedName>
    <definedName name="COLLINES" localSheetId="1">'.'!$T$2:$T$7</definedName>
    <definedName name="COLLINES">PARAMETRAGE!$T$2:$T$7</definedName>
    <definedName name="COMMERCE" localSheetId="1">'.'!$AD$2:$AD$8</definedName>
    <definedName name="COMMERCE">PARAMETRAGE!$AD$2:$AD$8</definedName>
    <definedName name="Commercialisation" localSheetId="1">'.'!$AL$2:$AL$15</definedName>
    <definedName name="Commercialisation">PARAMETRAGE!$AL$2:$AL$16</definedName>
    <definedName name="CONAKRY">PARAMETRAGE!$P$2</definedName>
    <definedName name="Cordonnerie">PARAMETRAGE!$AE$7</definedName>
    <definedName name="Cosmétique">PARAMETRAGE!$AD$5</definedName>
    <definedName name="COUFFO" localSheetId="1">'.'!$U$2:$U$7</definedName>
    <definedName name="COUFFO">PARAMETRAGE!$U$2:$U$7</definedName>
    <definedName name="Département" localSheetId="1">'.'!$O$1:$O$12</definedName>
    <definedName name="Département">PARAMETRAGE!$O$1:$O$12</definedName>
    <definedName name="Divers_Service">PARAMETRAGE!$AF$4</definedName>
    <definedName name="DONGA" localSheetId="1">'.'!$V$2:$V$5</definedName>
    <definedName name="DONGA">PARAMETRAGE!$V$2:$V$5</definedName>
    <definedName name="École___Collège">PARAMETRAGE!$AF$6</definedName>
    <definedName name="Fabrication">PARAMETRAGE!$AG$2</definedName>
    <definedName name="FARANAH">PARAMETRAGE!$U$2:$U$5</definedName>
    <definedName name="FIVE">PARAMETRAGE!$ED$1:$ED$6</definedName>
    <definedName name="Formation">PARAMETRAGE!$AF$2</definedName>
    <definedName name="FOUR">PARAMETRAGE!$EC$1:$EC$5</definedName>
    <definedName name="Habillement">PARAMETRAGE!$AD$2</definedName>
    <definedName name="Historique" localSheetId="1">'.'!$L$8:$L$14</definedName>
    <definedName name="Historique">PARAMETRAGE!$L$8:$L$14</definedName>
    <definedName name="INDUSTRIE" localSheetId="1">'.'!$AG$2:$AG$3</definedName>
    <definedName name="INDUSTRIE">PARAMETRAGE!$AG$2:$AG$3</definedName>
    <definedName name="KANKAN">PARAMETRAGE!$V$2:$V$5</definedName>
    <definedName name="KINDIA">PARAMETRAGE!$R$2:$R$6</definedName>
    <definedName name="LABÉ">PARAMETRAGE!$T$2:$T$6</definedName>
    <definedName name="LITTORAL" localSheetId="1">'.'!$W$2</definedName>
    <definedName name="LITTORAL">PARAMETRAGE!$W$2</definedName>
    <definedName name="Maçonnerie">PARAMETRAGE!$AE$6</definedName>
    <definedName name="MAMOU">PARAMETRAGE!$S$2:$S$4</definedName>
    <definedName name="Mécanique">PARAMETRAGE!$AE$5</definedName>
    <definedName name="Menuiserie">PARAMETRAGE!$AE$2</definedName>
    <definedName name="Mercerie">PARAMETRAGE!$AD$6</definedName>
    <definedName name="MONO" localSheetId="1">'.'!$X$2:$X$7</definedName>
    <definedName name="MONO">PARAMETRAGE!$X$2:$X$7</definedName>
    <definedName name="niveau_de_risque" localSheetId="1">'.'!$L$1:$L$6</definedName>
    <definedName name="niveau_de_risque">PARAMETRAGE!$L$1:$L$6</definedName>
    <definedName name="NZÉRÉKORÉ">PARAMETRAGE!$W$2:$W$7</definedName>
    <definedName name="Objet_crédit" localSheetId="1">'.'!$C$1:$C$5</definedName>
    <definedName name="Objet_crédit">PARAMETRAGE!$C$1:$C$5</definedName>
    <definedName name="ONE">PARAMETRAGE!$DZ$1</definedName>
    <definedName name="OUÉMÉ" localSheetId="1">'.'!$Y$2:$Y$10</definedName>
    <definedName name="OUÉMÉ">PARAMETRAGE!$Y$2:$Y$10</definedName>
    <definedName name="PDA" localSheetId="1">'.'!$N$1:$N$7</definedName>
    <definedName name="PDA">PARAMETRAGE!$N$1:$N$9</definedName>
    <definedName name="PLATEAU" localSheetId="1">'.'!$Z$2:$Z$6</definedName>
    <definedName name="PLATEAU">PARAMETRAGE!$Z$2:$Z$6</definedName>
    <definedName name="Production_animale" localSheetId="1">'.'!$AI$2:$AI$9</definedName>
    <definedName name="Production_animale">PARAMETRAGE!$AI$2:$AI$9</definedName>
    <definedName name="Production_végétale" localSheetId="1">'.'!$AJ$2:$AJ$17</definedName>
    <definedName name="Production_végétale">PARAMETRAGE!$AJ$2:$AJ$18</definedName>
    <definedName name="Restauration">PARAMETRAGE!$AD$3</definedName>
    <definedName name="SERVICE" localSheetId="1">'.'!$AF$2:$AF$7</definedName>
    <definedName name="SERVICE">PARAMETRAGE!$AF$2:$AF$7</definedName>
    <definedName name="Service_divers">PARAMETRAGE!$AF$4</definedName>
    <definedName name="SIX">PARAMETRAGE!$EE$1:$EE$7</definedName>
    <definedName name="Soudure">PARAMETRAGE!$AE$3</definedName>
    <definedName name="THREE">PARAMETRAGE!$EB$1:$EB$4</definedName>
    <definedName name="Transformation" localSheetId="1">'.'!$AK$2:$AK$16</definedName>
    <definedName name="Transformation">PARAMETRAGE!$AK$2:$AK$17</definedName>
    <definedName name="TWO">PARAMETRAGE!$EA$1:$EA$3</definedName>
    <definedName name="Vaisselle__Émaux">PARAMETRAGE!$AD$7</definedName>
    <definedName name="ZOU" localSheetId="1">'.'!$AA$2:$AA$10</definedName>
    <definedName name="ZOU">PARAMETRAGE!$AA$2:$AA$10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8" l="1"/>
  <c r="G70" i="18"/>
  <c r="H51" i="18"/>
  <c r="G51" i="18"/>
  <c r="J50" i="18"/>
  <c r="J49" i="18"/>
  <c r="J48" i="18"/>
  <c r="J47" i="18"/>
  <c r="J46" i="18"/>
  <c r="J45" i="18"/>
  <c r="J44" i="18"/>
  <c r="J43" i="18"/>
  <c r="J42" i="18"/>
  <c r="J41" i="18"/>
  <c r="J40" i="18"/>
  <c r="H36" i="18"/>
  <c r="G36" i="18"/>
  <c r="J35" i="18"/>
  <c r="J34" i="18"/>
  <c r="J33" i="18"/>
  <c r="J32" i="18"/>
  <c r="J31" i="18"/>
  <c r="J30" i="18"/>
  <c r="J36" i="18" s="1"/>
  <c r="H26" i="18"/>
  <c r="G26" i="18"/>
  <c r="J25" i="18"/>
  <c r="J24" i="18"/>
  <c r="J23" i="18"/>
  <c r="J22" i="18"/>
  <c r="J26" i="18" s="1"/>
  <c r="J18" i="18"/>
  <c r="H18" i="18"/>
  <c r="G18" i="18"/>
  <c r="J17" i="18"/>
  <c r="J16" i="18"/>
  <c r="J15" i="18"/>
  <c r="J14" i="18"/>
  <c r="H4" i="18"/>
  <c r="J31" i="17"/>
  <c r="J30" i="17"/>
  <c r="J29" i="17"/>
  <c r="J28" i="17"/>
  <c r="J27" i="17"/>
  <c r="J32" i="17" s="1"/>
  <c r="J23" i="17"/>
  <c r="J22" i="17"/>
  <c r="J21" i="17"/>
  <c r="J20" i="17"/>
  <c r="J19" i="17"/>
  <c r="J18" i="17"/>
  <c r="J17" i="17"/>
  <c r="J16" i="17"/>
  <c r="J15" i="17"/>
  <c r="J14" i="17"/>
  <c r="J13" i="17"/>
  <c r="J12" i="17"/>
  <c r="J24" i="17" s="1"/>
  <c r="F3" i="2" s="1"/>
  <c r="F3" i="3" s="1"/>
  <c r="J6" i="17"/>
  <c r="J4" i="17"/>
  <c r="B34" i="16"/>
  <c r="J32" i="16"/>
  <c r="J31" i="16"/>
  <c r="J30" i="16"/>
  <c r="J29" i="16"/>
  <c r="J28" i="16"/>
  <c r="J27" i="16"/>
  <c r="J23" i="16"/>
  <c r="J22" i="16"/>
  <c r="J21" i="16"/>
  <c r="J20" i="16"/>
  <c r="J19" i="16"/>
  <c r="J18" i="16"/>
  <c r="J17" i="16"/>
  <c r="J16" i="16"/>
  <c r="J15" i="16"/>
  <c r="J14" i="16"/>
  <c r="J13" i="16"/>
  <c r="J12" i="16"/>
  <c r="B11" i="16"/>
  <c r="F8" i="16"/>
  <c r="J4" i="16"/>
  <c r="J36" i="15"/>
  <c r="J35" i="15"/>
  <c r="J34" i="15"/>
  <c r="J33" i="15"/>
  <c r="J32" i="15"/>
  <c r="J28" i="15"/>
  <c r="J27" i="15"/>
  <c r="J26" i="15"/>
  <c r="J25" i="15"/>
  <c r="J24" i="15"/>
  <c r="J23" i="15"/>
  <c r="J21" i="15"/>
  <c r="J20" i="15"/>
  <c r="J19" i="15"/>
  <c r="J18" i="15"/>
  <c r="J17" i="15"/>
  <c r="J16" i="15"/>
  <c r="J15" i="15"/>
  <c r="J14" i="15"/>
  <c r="J13" i="15"/>
  <c r="J12" i="15"/>
  <c r="J29" i="15" s="1"/>
  <c r="J6" i="15"/>
  <c r="J4" i="15"/>
  <c r="J36" i="14"/>
  <c r="J35" i="14"/>
  <c r="J37" i="14" s="1"/>
  <c r="J34" i="14"/>
  <c r="J33" i="14"/>
  <c r="J32" i="14"/>
  <c r="J28" i="14"/>
  <c r="J27" i="14"/>
  <c r="J26" i="14"/>
  <c r="J25" i="14"/>
  <c r="J24" i="14"/>
  <c r="J23" i="14"/>
  <c r="J21" i="14"/>
  <c r="J20" i="14"/>
  <c r="J19" i="14"/>
  <c r="J18" i="14"/>
  <c r="J17" i="14"/>
  <c r="J16" i="14"/>
  <c r="J15" i="14"/>
  <c r="J14" i="14"/>
  <c r="J13" i="14"/>
  <c r="J12" i="14"/>
  <c r="J4" i="14"/>
  <c r="J36" i="13"/>
  <c r="J35" i="13"/>
  <c r="J34" i="13"/>
  <c r="J33" i="13"/>
  <c r="J32" i="13"/>
  <c r="J28" i="13"/>
  <c r="J27" i="13"/>
  <c r="J26" i="13"/>
  <c r="J25" i="13"/>
  <c r="J24" i="13"/>
  <c r="J23" i="13"/>
  <c r="J21" i="13"/>
  <c r="J20" i="13"/>
  <c r="J19" i="13"/>
  <c r="J18" i="13"/>
  <c r="J17" i="13"/>
  <c r="J16" i="13"/>
  <c r="J15" i="13"/>
  <c r="J14" i="13"/>
  <c r="J13" i="13"/>
  <c r="J12" i="13"/>
  <c r="J29" i="13" s="1"/>
  <c r="J6" i="13"/>
  <c r="J6" i="14" s="1"/>
  <c r="J4" i="13"/>
  <c r="F4" i="13"/>
  <c r="F4" i="14" s="1"/>
  <c r="F4" i="15" s="1"/>
  <c r="M29" i="12"/>
  <c r="I29" i="12" s="1"/>
  <c r="M28" i="12"/>
  <c r="M27" i="12"/>
  <c r="C27" i="12"/>
  <c r="M24" i="12"/>
  <c r="D24" i="12"/>
  <c r="D22" i="12"/>
  <c r="D18" i="12"/>
  <c r="D16" i="12"/>
  <c r="D14" i="12"/>
  <c r="D12" i="12"/>
  <c r="M4" i="12"/>
  <c r="F4" i="12"/>
  <c r="M2" i="12"/>
  <c r="F2" i="12"/>
  <c r="F2" i="13" s="1"/>
  <c r="F2" i="14" s="1"/>
  <c r="F2" i="15" s="1"/>
  <c r="H20" i="11"/>
  <c r="G20" i="11"/>
  <c r="I20" i="11" s="1"/>
  <c r="G19" i="11"/>
  <c r="G18" i="11"/>
  <c r="I18" i="11" s="1"/>
  <c r="B18" i="11"/>
  <c r="G17" i="11"/>
  <c r="G16" i="11"/>
  <c r="I16" i="11" s="1"/>
  <c r="H15" i="11"/>
  <c r="G15" i="11"/>
  <c r="I15" i="11" s="1"/>
  <c r="B15" i="11"/>
  <c r="B15" i="2" s="1"/>
  <c r="H14" i="11"/>
  <c r="G14" i="11"/>
  <c r="I14" i="11" s="1"/>
  <c r="G13" i="11"/>
  <c r="I5" i="11"/>
  <c r="D5" i="11"/>
  <c r="I3" i="11"/>
  <c r="D3" i="11"/>
  <c r="J28" i="10"/>
  <c r="I28" i="10"/>
  <c r="J27" i="10"/>
  <c r="I27" i="10"/>
  <c r="H19" i="11" s="1"/>
  <c r="I19" i="11" s="1"/>
  <c r="J26" i="10"/>
  <c r="I26" i="10"/>
  <c r="H18" i="11" s="1"/>
  <c r="C26" i="10"/>
  <c r="J25" i="10"/>
  <c r="I25" i="10"/>
  <c r="H17" i="11" s="1"/>
  <c r="C25" i="10"/>
  <c r="J24" i="10"/>
  <c r="I24" i="10"/>
  <c r="H16" i="11" s="1"/>
  <c r="C24" i="10"/>
  <c r="J23" i="10"/>
  <c r="I23" i="10"/>
  <c r="C23" i="10"/>
  <c r="J22" i="10"/>
  <c r="I22" i="10"/>
  <c r="J21" i="10"/>
  <c r="I21" i="10"/>
  <c r="H13" i="11" s="1"/>
  <c r="I13" i="11" s="1"/>
  <c r="M5" i="10"/>
  <c r="E5" i="10"/>
  <c r="M3" i="10"/>
  <c r="E3" i="10"/>
  <c r="K46" i="9"/>
  <c r="K42" i="9"/>
  <c r="AV7" i="2" s="1"/>
  <c r="K40" i="9"/>
  <c r="K38" i="9"/>
  <c r="F38" i="9"/>
  <c r="K37" i="9"/>
  <c r="M37" i="9" s="1"/>
  <c r="AX2" i="2" s="1"/>
  <c r="BG2" i="2" s="1"/>
  <c r="L26" i="9"/>
  <c r="L27" i="9" s="1"/>
  <c r="L28" i="9" s="1"/>
  <c r="L32" i="9" s="1"/>
  <c r="K26" i="9"/>
  <c r="L15" i="9"/>
  <c r="C15" i="9"/>
  <c r="C14" i="9"/>
  <c r="L12" i="9"/>
  <c r="K12" i="9"/>
  <c r="M5" i="9"/>
  <c r="G5" i="9"/>
  <c r="N3" i="9"/>
  <c r="G3" i="9"/>
  <c r="K38" i="8"/>
  <c r="K37" i="8"/>
  <c r="K36" i="8"/>
  <c r="K35" i="8"/>
  <c r="K34" i="8"/>
  <c r="K32" i="8"/>
  <c r="K31" i="8"/>
  <c r="K30" i="8"/>
  <c r="K28" i="8"/>
  <c r="K39" i="8" s="1"/>
  <c r="K49" i="9" s="1"/>
  <c r="K27" i="8"/>
  <c r="K26" i="8"/>
  <c r="K24" i="8"/>
  <c r="K23" i="8"/>
  <c r="K22" i="8"/>
  <c r="K16" i="8"/>
  <c r="K15" i="8"/>
  <c r="K14" i="8"/>
  <c r="K13" i="8"/>
  <c r="K12" i="8"/>
  <c r="K17" i="8" s="1"/>
  <c r="K42" i="8" s="1"/>
  <c r="K7" i="8"/>
  <c r="K5" i="8"/>
  <c r="D5" i="8"/>
  <c r="L3" i="8"/>
  <c r="K2" i="13" s="1"/>
  <c r="K2" i="14" s="1"/>
  <c r="K2" i="15" s="1"/>
  <c r="D3" i="8"/>
  <c r="C60" i="7"/>
  <c r="J56" i="7"/>
  <c r="J55" i="7"/>
  <c r="C54" i="7"/>
  <c r="C53" i="7"/>
  <c r="J50" i="7"/>
  <c r="I50" i="7"/>
  <c r="C47" i="7"/>
  <c r="J35" i="7"/>
  <c r="I35" i="7"/>
  <c r="K47" i="9" s="1"/>
  <c r="J32" i="7"/>
  <c r="I32" i="7"/>
  <c r="J57" i="7" s="1"/>
  <c r="J24" i="7"/>
  <c r="I24" i="7"/>
  <c r="C22" i="7"/>
  <c r="C21" i="7"/>
  <c r="C20" i="7"/>
  <c r="C18" i="7"/>
  <c r="J17" i="7"/>
  <c r="J26" i="7" s="1"/>
  <c r="J39" i="7" s="1"/>
  <c r="I17" i="7"/>
  <c r="K41" i="9" s="1"/>
  <c r="C14" i="7"/>
  <c r="J6" i="7"/>
  <c r="M7" i="9" s="1"/>
  <c r="M6" i="12" s="1"/>
  <c r="J4" i="7"/>
  <c r="D4" i="7"/>
  <c r="K2" i="7"/>
  <c r="D2" i="7"/>
  <c r="I28" i="6"/>
  <c r="I27" i="6"/>
  <c r="J59" i="7" s="1"/>
  <c r="I25" i="6"/>
  <c r="H25" i="6"/>
  <c r="G25" i="6"/>
  <c r="F25" i="6"/>
  <c r="E25" i="6"/>
  <c r="D25" i="6"/>
  <c r="C25" i="6"/>
  <c r="I24" i="6"/>
  <c r="I16" i="6"/>
  <c r="I11" i="6"/>
  <c r="H3" i="6"/>
  <c r="C3" i="6"/>
  <c r="AG66" i="5"/>
  <c r="Y43" i="5"/>
  <c r="K39" i="5"/>
  <c r="C39" i="5"/>
  <c r="K37" i="5"/>
  <c r="C37" i="5"/>
  <c r="Z30" i="5"/>
  <c r="AF11" i="5"/>
  <c r="O11" i="5"/>
  <c r="AK9" i="5"/>
  <c r="AH9" i="5"/>
  <c r="Y9" i="5"/>
  <c r="O9" i="5"/>
  <c r="J3" i="5"/>
  <c r="B20" i="3"/>
  <c r="B19" i="3"/>
  <c r="B18" i="3"/>
  <c r="B17" i="3"/>
  <c r="BI16" i="3"/>
  <c r="AZ16" i="3"/>
  <c r="B16" i="3"/>
  <c r="B15" i="3"/>
  <c r="B14" i="3"/>
  <c r="B13" i="3"/>
  <c r="EJ12" i="3"/>
  <c r="EJ11" i="3"/>
  <c r="EI11" i="3"/>
  <c r="CN11" i="3"/>
  <c r="AV11" i="3"/>
  <c r="EJ10" i="3"/>
  <c r="EI10" i="3"/>
  <c r="CN10" i="3"/>
  <c r="EJ9" i="3"/>
  <c r="EI9" i="3"/>
  <c r="CN9" i="3"/>
  <c r="EJ8" i="3"/>
  <c r="EI8" i="3"/>
  <c r="CN8" i="3"/>
  <c r="EJ7" i="3"/>
  <c r="EI7" i="3"/>
  <c r="CN7" i="3"/>
  <c r="AV7" i="3"/>
  <c r="EJ6" i="3"/>
  <c r="EI6" i="3"/>
  <c r="CN6" i="3"/>
  <c r="EJ5" i="3"/>
  <c r="EI5" i="3"/>
  <c r="CN5" i="3"/>
  <c r="BI5" i="3"/>
  <c r="AV5" i="3"/>
  <c r="G5" i="3"/>
  <c r="EJ4" i="3"/>
  <c r="EI4" i="3"/>
  <c r="CN4" i="3"/>
  <c r="BF4" i="3"/>
  <c r="BF1" i="3" s="1"/>
  <c r="EJ3" i="3"/>
  <c r="EI3" i="3"/>
  <c r="CN3" i="3"/>
  <c r="EJ2" i="3"/>
  <c r="EI2" i="3"/>
  <c r="EI12" i="3" s="1"/>
  <c r="EH12" i="3" s="1"/>
  <c r="DY2" i="3"/>
  <c r="CN2" i="3"/>
  <c r="BE2" i="3"/>
  <c r="BF3" i="3" s="1"/>
  <c r="AV2" i="3"/>
  <c r="G2" i="3"/>
  <c r="F2" i="3"/>
  <c r="DY1" i="3"/>
  <c r="CT1" i="3"/>
  <c r="CN1" i="3"/>
  <c r="AX1" i="3"/>
  <c r="AV1" i="3"/>
  <c r="B20" i="2"/>
  <c r="B19" i="2"/>
  <c r="B18" i="2"/>
  <c r="B17" i="2"/>
  <c r="BI16" i="2"/>
  <c r="AZ16" i="2"/>
  <c r="B16" i="2"/>
  <c r="B14" i="2"/>
  <c r="U13" i="2"/>
  <c r="T13" i="2"/>
  <c r="B13" i="2"/>
  <c r="CN11" i="2"/>
  <c r="AV11" i="2"/>
  <c r="CN10" i="2"/>
  <c r="CN9" i="2"/>
  <c r="CN8" i="2"/>
  <c r="CN7" i="2"/>
  <c r="BI7" i="2"/>
  <c r="CN6" i="2"/>
  <c r="CN5" i="2"/>
  <c r="BI5" i="2"/>
  <c r="AV5" i="2"/>
  <c r="G5" i="2"/>
  <c r="CN4" i="2"/>
  <c r="CN3" i="2"/>
  <c r="CN2" i="2"/>
  <c r="BE2" i="2"/>
  <c r="BF3" i="2" s="1"/>
  <c r="BF4" i="2" s="1"/>
  <c r="BF1" i="2" s="1"/>
  <c r="AV2" i="2"/>
  <c r="G2" i="2"/>
  <c r="G6" i="2" s="1"/>
  <c r="G6" i="3" s="1"/>
  <c r="K13" i="9" s="1"/>
  <c r="F2" i="2"/>
  <c r="F6" i="2" s="1"/>
  <c r="F6" i="3" s="1"/>
  <c r="K14" i="9" s="1"/>
  <c r="K27" i="9" s="1"/>
  <c r="J53" i="7" s="1"/>
  <c r="J60" i="7" s="1"/>
  <c r="I60" i="7" s="1"/>
  <c r="CN1" i="2"/>
  <c r="AX1" i="2"/>
  <c r="AV1" i="2"/>
  <c r="C4" i="18" l="1"/>
  <c r="F4" i="16"/>
  <c r="F4" i="17"/>
  <c r="K29" i="9"/>
  <c r="H42" i="8"/>
  <c r="AV6" i="3"/>
  <c r="M41" i="9"/>
  <c r="AV6" i="2"/>
  <c r="H2" i="18"/>
  <c r="K2" i="16"/>
  <c r="K2" i="17"/>
  <c r="J39" i="14"/>
  <c r="K39" i="14" s="1"/>
  <c r="AV14" i="3"/>
  <c r="AV14" i="2"/>
  <c r="K15" i="9"/>
  <c r="K28" i="9"/>
  <c r="CU1" i="3"/>
  <c r="CS1" i="3" s="1"/>
  <c r="CS2" i="3"/>
  <c r="F2" i="16"/>
  <c r="F2" i="17"/>
  <c r="C2" i="18"/>
  <c r="J34" i="17"/>
  <c r="K34" i="17" s="1"/>
  <c r="J29" i="14"/>
  <c r="F4" i="2" s="1"/>
  <c r="F4" i="3" s="1"/>
  <c r="CN12" i="2"/>
  <c r="AX2" i="3"/>
  <c r="BG2" i="3" s="1"/>
  <c r="BH2" i="3" s="1"/>
  <c r="BI2" i="3" s="1"/>
  <c r="N37" i="9" s="1"/>
  <c r="J41" i="7"/>
  <c r="J42" i="7" s="1"/>
  <c r="J51" i="18"/>
  <c r="M7" i="10"/>
  <c r="I7" i="11"/>
  <c r="J37" i="15"/>
  <c r="J39" i="15" s="1"/>
  <c r="K39" i="15" s="1"/>
  <c r="AV12" i="3"/>
  <c r="AV12" i="2"/>
  <c r="CN12" i="3"/>
  <c r="K51" i="9" s="1"/>
  <c r="J37" i="7"/>
  <c r="I41" i="7"/>
  <c r="I42" i="7" s="1"/>
  <c r="AV3" i="3"/>
  <c r="AV3" i="2"/>
  <c r="BF2" i="3"/>
  <c r="I17" i="11"/>
  <c r="J6" i="16"/>
  <c r="J6" i="18"/>
  <c r="B21" i="11"/>
  <c r="I21" i="11" s="1"/>
  <c r="J24" i="16"/>
  <c r="BF2" i="2"/>
  <c r="BH2" i="2" s="1"/>
  <c r="BI2" i="2" s="1"/>
  <c r="K43" i="9"/>
  <c r="J37" i="13"/>
  <c r="I26" i="7"/>
  <c r="K45" i="9"/>
  <c r="G3" i="2"/>
  <c r="G3" i="3" s="1"/>
  <c r="J21" i="11"/>
  <c r="B23" i="11" s="1"/>
  <c r="AV16" i="3" l="1"/>
  <c r="AV16" i="2"/>
  <c r="I39" i="7"/>
  <c r="I37" i="7"/>
  <c r="K48" i="9"/>
  <c r="AX6" i="3"/>
  <c r="BG7" i="3" s="1"/>
  <c r="BI6" i="3" s="1"/>
  <c r="N41" i="9" s="1"/>
  <c r="AX6" i="2"/>
  <c r="BG7" i="2" s="1"/>
  <c r="BI6" i="2" s="1"/>
  <c r="G4" i="2"/>
  <c r="G4" i="3" s="1"/>
  <c r="J39" i="13"/>
  <c r="K39" i="13" s="1"/>
  <c r="J34" i="16"/>
  <c r="K34" i="16" s="1"/>
  <c r="F5" i="2"/>
  <c r="F5" i="3" s="1"/>
  <c r="C16" i="3"/>
  <c r="C13" i="2"/>
  <c r="C16" i="2"/>
  <c r="C20" i="3"/>
  <c r="C19" i="3"/>
  <c r="C18" i="2"/>
  <c r="C20" i="2"/>
  <c r="C19" i="2"/>
  <c r="C14" i="3"/>
  <c r="C14" i="2"/>
  <c r="C18" i="3"/>
  <c r="C13" i="3"/>
  <c r="C15" i="2"/>
  <c r="C17" i="2"/>
  <c r="C17" i="3"/>
  <c r="C15" i="3"/>
  <c r="M45" i="9"/>
  <c r="AV10" i="3"/>
  <c r="AV10" i="2"/>
  <c r="AV8" i="2"/>
  <c r="AV8" i="3"/>
  <c r="K30" i="9"/>
  <c r="C27" i="9"/>
  <c r="K32" i="9"/>
  <c r="K52" i="9"/>
  <c r="M51" i="9" s="1"/>
  <c r="K50" i="9"/>
  <c r="AX16" i="2" l="1"/>
  <c r="BG17" i="2" s="1"/>
  <c r="AX16" i="3"/>
  <c r="BG17" i="3" s="1"/>
  <c r="AX10" i="3"/>
  <c r="BG11" i="3" s="1"/>
  <c r="BI11" i="3" s="1"/>
  <c r="N45" i="9" s="1"/>
  <c r="AX10" i="2"/>
  <c r="BG11" i="2" s="1"/>
  <c r="BI11" i="2" s="1"/>
  <c r="CU5" i="3"/>
  <c r="K39" i="9" s="1"/>
  <c r="BI7" i="3"/>
  <c r="AV13" i="3"/>
  <c r="AV13" i="2"/>
  <c r="M47" i="9"/>
  <c r="AV15" i="3"/>
  <c r="AV15" i="2"/>
  <c r="M49" i="9"/>
  <c r="K44" i="9"/>
  <c r="AV17" i="2"/>
  <c r="AV17" i="3"/>
  <c r="AX14" i="3" l="1"/>
  <c r="BG15" i="3" s="1"/>
  <c r="BF15" i="3" s="1"/>
  <c r="BI15" i="3" s="1"/>
  <c r="N49" i="9" s="1"/>
  <c r="AX14" i="2"/>
  <c r="BG15" i="2" s="1"/>
  <c r="BF15" i="2" s="1"/>
  <c r="BI15" i="2" s="1"/>
  <c r="AV4" i="2"/>
  <c r="M39" i="9"/>
  <c r="AV4" i="3"/>
  <c r="BI17" i="3"/>
  <c r="N51" i="9" s="1"/>
  <c r="BF17" i="3"/>
  <c r="AV9" i="3"/>
  <c r="AV9" i="2"/>
  <c r="M43" i="9"/>
  <c r="AX12" i="3"/>
  <c r="BG13" i="3" s="1"/>
  <c r="BI13" i="3" s="1"/>
  <c r="N47" i="9" s="1"/>
  <c r="AX12" i="2"/>
  <c r="BG13" i="2" s="1"/>
  <c r="BI13" i="2" s="1"/>
  <c r="BI17" i="2"/>
  <c r="BF17" i="2"/>
  <c r="AX4" i="2" l="1"/>
  <c r="BG5" i="2" s="1"/>
  <c r="BI4" i="2" s="1"/>
  <c r="AX4" i="3"/>
  <c r="BG5" i="3" s="1"/>
  <c r="BI4" i="3" s="1"/>
  <c r="N39" i="9" s="1"/>
  <c r="AX8" i="3"/>
  <c r="BG9" i="3" s="1"/>
  <c r="BF9" i="3" s="1"/>
  <c r="BI9" i="3" s="1"/>
  <c r="N43" i="9" s="1"/>
  <c r="AX8" i="2"/>
  <c r="BG9" i="2" s="1"/>
  <c r="BF9" i="2" s="1"/>
  <c r="BI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Q5" authorId="0" shapeId="0" xr:uid="{00000000-0006-0000-0100-000001000000}">
      <text>
        <r>
          <rPr>
            <sz val="11"/>
            <color rgb="FF000000"/>
            <rFont val="Calibri"/>
          </rPr>
          <t xml:space="preserve">Narcisse Soglohoun:
Le service de la dette  prend en compte uniquement la charge financière globale lorsqu'il s'agit d'un crédit de production ou fonds de roulement.  Pour le crédit investissement, cela prend en compte l'échéance périodique en capital et intérêts à payer pendant la péridoe d'activité.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S1" authorId="0" shapeId="0" xr:uid="{00000000-0006-0000-0200-000001000000}">
      <text>
        <r>
          <rPr>
            <sz val="11"/>
            <color rgb="FF000000"/>
            <rFont val="Calibri"/>
          </rPr>
          <t>Narcisse SOGLOHOUN:
Fraction de capital à réintégrer</t>
        </r>
      </text>
    </comment>
    <comment ref="AQ5" authorId="0" shapeId="0" xr:uid="{00000000-0006-0000-0200-000002000000}">
      <text>
        <r>
          <rPr>
            <sz val="11"/>
            <color rgb="FF000000"/>
            <rFont val="Calibri"/>
          </rPr>
          <t xml:space="preserve">Narcisse Soglohoun:
Le service de la dette  prend en compte uniquement la charge financière globale lorsqu'il s'agit d'un crédit de production ou fonds de roulement.  Pour le crédit investissement, cela prend en compte l'échéance périodique en capital et intérêts à payer pendant la péridoe d'activité.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64" authorId="0" shapeId="0" xr:uid="{00000000-0006-0000-0400-000001000000}">
      <text>
        <r>
          <rPr>
            <sz val="11"/>
            <color rgb="FF000000"/>
            <rFont val="Calibri"/>
          </rPr>
          <t>Bien meuble ou immeuble
Exemple : Parcelle recasée, parcelle non lotie/non bornée ; véhicule ; Machine ; etc….</t>
        </r>
      </text>
    </comment>
    <comment ref="C65" authorId="0" shapeId="0" xr:uid="{00000000-0006-0000-0400-000002000000}">
      <text>
        <r>
          <rPr>
            <sz val="11"/>
            <color rgb="FF000000"/>
            <rFont val="Calibri"/>
          </rPr>
          <t xml:space="preserve">Caution sur salaire ; Salaire personnel du client ; etc...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7" authorId="0" shapeId="0" xr:uid="{00000000-0006-0000-0500-000001000000}">
      <text>
        <r>
          <rPr>
            <sz val="11"/>
            <color rgb="FF000000"/>
            <rFont val="Calibri"/>
          </rPr>
          <t>Les valeurs retenues pour la main d'œuvre dans le compte d'exploitation de chaque culture seront prises en compte ici pour évaluer l'apport en main d'œuvre.  Donc, prière se référer au détail des comptes d'exploitation.</t>
        </r>
      </text>
    </comment>
    <comment ref="B28" authorId="0" shapeId="0" xr:uid="{00000000-0006-0000-0500-000002000000}">
      <text>
        <r>
          <rPr>
            <sz val="11"/>
            <color rgb="FF000000"/>
            <rFont val="Calibri"/>
          </rPr>
          <t xml:space="preserve"> Le crédit servira à quoi au niveau des charges liées à la production.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00000000-0006-0000-0600-000001000000}">
      <text>
        <r>
          <rPr>
            <sz val="11"/>
            <color rgb="FF000000"/>
            <rFont val="Calibri"/>
          </rPr>
          <t>Crédit agricole : Les intrants sont réévalués au cours du marché. Les stocks de produits sont évalués au coût de production si ce prix est en dessous du prix du marché.</t>
        </r>
      </text>
    </comment>
    <comment ref="C15" authorId="0" shapeId="0" xr:uid="{00000000-0006-0000-0600-000002000000}">
      <text>
        <r>
          <rPr>
            <sz val="11"/>
            <color rgb="FF000000"/>
            <rFont val="Calibri"/>
          </rPr>
          <t>Les sommes à percevoir dans moins de 3 mois auprès des clients non douteux.</t>
        </r>
      </text>
    </comment>
    <comment ref="C16" authorId="0" shapeId="0" xr:uid="{00000000-0006-0000-0600-000003000000}">
      <text>
        <r>
          <rPr>
            <sz val="11"/>
            <color rgb="FF000000"/>
            <rFont val="Calibri"/>
          </rPr>
          <t>Par exemple, les tontines journalières non encore perçues et dont la perception est à moins de 3 mois</t>
        </r>
      </text>
    </comment>
    <comment ref="C23" authorId="0" shapeId="0" xr:uid="{00000000-0006-0000-0600-000004000000}">
      <text>
        <r>
          <rPr>
            <sz val="11"/>
            <color rgb="FF000000"/>
            <rFont val="Calibri"/>
          </rPr>
          <t>Les stocks de produits à vendre dans plus de 6 mois et les créances à percevoir dans plus de 6 mois</t>
        </r>
      </text>
    </comment>
    <comment ref="C48" authorId="0" shapeId="0" xr:uid="{00000000-0006-0000-0600-000005000000}">
      <text>
        <r>
          <rPr>
            <sz val="11"/>
            <color rgb="FF000000"/>
            <rFont val="Calibri"/>
          </rPr>
          <t>Toutes les charges et autres nécessessaires au bon fonctionnement de l'équipement doivent être évaluées</t>
        </r>
      </text>
    </comment>
    <comment ref="C49" authorId="0" shapeId="0" xr:uid="{00000000-0006-0000-0600-000006000000}">
      <text>
        <r>
          <rPr>
            <sz val="11"/>
            <color rgb="FF000000"/>
            <rFont val="Calibri"/>
          </rPr>
          <t xml:space="preserve">Vérifier l'existence réelle de l'apport personnel et exclure le dépôt de garantie et la trésorerie destinée à satisfaire d'autres besoins </t>
        </r>
      </text>
    </comment>
    <comment ref="J50" authorId="0" shapeId="0" xr:uid="{00000000-0006-0000-0600-000007000000}">
      <text>
        <r>
          <rPr>
            <sz val="11"/>
            <color rgb="FF000000"/>
            <rFont val="Calibri"/>
          </rPr>
          <t>Le montant du crédit investissement proposé doit être égal au BESOIN RÉEL EN CRÉDIT INVESTISSEMENT</t>
        </r>
      </text>
    </comment>
    <comment ref="C54" authorId="0" shapeId="0" xr:uid="{00000000-0006-0000-0600-000008000000}">
      <text>
        <r>
          <rPr>
            <sz val="11"/>
            <color rgb="FF000000"/>
            <rFont val="Calibri"/>
          </rPr>
          <t xml:space="preserve">Vérifier l'existence réelle de la trésorerie et exclure le dépôt de garantie et la trésorerie destinée à satisfaire d'autres besoins </t>
        </r>
      </text>
    </comment>
    <comment ref="C55" authorId="0" shapeId="0" xr:uid="{00000000-0006-0000-0600-000009000000}">
      <text>
        <r>
          <rPr>
            <sz val="11"/>
            <color rgb="FF000000"/>
            <rFont val="Calibri"/>
          </rPr>
          <t xml:space="preserve">L'évaluation du stock se fait après la visite sur le terrain </t>
        </r>
      </text>
    </comment>
    <comment ref="C56" authorId="0" shapeId="0" xr:uid="{00000000-0006-0000-0600-00000A000000}">
      <text>
        <r>
          <rPr>
            <sz val="11"/>
            <color rgb="FF000000"/>
            <rFont val="Calibri"/>
          </rPr>
          <t>Ne pas tenir compte des créances douteuses et se limiter au créance à moins de 3 mois</t>
        </r>
      </text>
    </comment>
    <comment ref="C58" authorId="0" shapeId="0" xr:uid="{00000000-0006-0000-0600-00000B000000}">
      <text>
        <r>
          <rPr>
            <sz val="11"/>
            <color rgb="FF000000"/>
            <rFont val="Calibri"/>
          </rPr>
          <t>Le crédit fournisseur à prendre en compte ici est une promesse ferme. Cette valeur n'existe pas encore dans les dettes fournisseurs évaluées dans le passif à court terme.</t>
        </r>
      </text>
    </comment>
    <comment ref="C59" authorId="0" shapeId="0" xr:uid="{00000000-0006-0000-0600-00000C000000}">
      <text>
        <r>
          <rPr>
            <sz val="11"/>
            <color rgb="FF000000"/>
            <rFont val="Calibri"/>
          </rPr>
          <t>Les valeurs retenues pour la main d'œuvre dans le compte d'exploitation de chaque culture seront prises en compte ici pour évaluer l'apport en main d'œuvre.  Donc, prière se référer au détail des comptes d'exploitation.</t>
        </r>
      </text>
    </comment>
    <comment ref="J60" authorId="0" shapeId="0" xr:uid="{00000000-0006-0000-0600-00000D000000}">
      <text>
        <r>
          <rPr>
            <sz val="11"/>
            <color rgb="FF000000"/>
            <rFont val="Calibri"/>
          </rPr>
          <t>Le montant du crédit proposé doit être au moins égal au BESOIN RÉEL EN CRÉDIT FONDS DE ROULEMENT/CAMPAGNE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00000000-0006-0000-0700-000001000000}">
      <text>
        <r>
          <rPr>
            <sz val="11"/>
            <color rgb="FF000000"/>
            <rFont val="Calibri"/>
          </rPr>
          <t>La source de revenus doit être stable.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M36" authorId="0" shapeId="0" xr:uid="{00000000-0006-0000-0800-000001000000}">
      <text>
        <r>
          <rPr>
            <sz val="11"/>
            <color rgb="FF000000"/>
            <rFont val="Calibri"/>
          </rPr>
          <t xml:space="preserve">
SIGNIFICATION DES COULEURS
=Le vert : vous pouvez continuer
=Le jaune : faites attention
=Le rouge : arrêtez-vous et approfondissez votre analyse</t>
        </r>
      </text>
    </comment>
    <comment ref="C37" authorId="0" shapeId="0" xr:uid="{00000000-0006-0000-0800-000002000000}">
      <text>
        <r>
          <rPr>
            <sz val="11"/>
            <color rgb="FF000000"/>
            <rFont val="Calibri"/>
          </rPr>
          <t xml:space="preserve">Ce ratio peut être ajusté dans le cadre d'une autre activité à part la production agricole
</t>
        </r>
      </text>
    </comment>
    <comment ref="C43" authorId="0" shapeId="0" xr:uid="{00000000-0006-0000-0800-000003000000}">
      <text>
        <r>
          <rPr>
            <sz val="11"/>
            <color rgb="FF000000"/>
            <rFont val="Calibri"/>
          </rPr>
          <t>Il s'agit d'un ratio très dynamique. Il peut être assimilé au ratio d'endettement avec un seuil de tolérance allant jusqu'à ≤ 2.
Dans le cas d'espèce, cela peut être intéprêté dans le sens de l'autonomie financière de l'entreprise avec comme limite 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F20" authorId="0" shapeId="0" xr:uid="{00000000-0006-0000-0900-000001000000}">
      <text>
        <r>
          <rPr>
            <sz val="11"/>
            <color rgb="FF000000"/>
            <rFont val="Calibri"/>
          </rPr>
          <t xml:space="preserve">Il existe 6 niveaux d'appréciation. L'agent de crédit du SFD doit faire son choix au regard des informations collectées et validées avec le client. </t>
        </r>
      </text>
    </comment>
    <comment ref="J20" authorId="0" shapeId="0" xr:uid="{00000000-0006-0000-0900-000002000000}">
      <text>
        <r>
          <rPr>
            <sz val="11"/>
            <color rgb="FF000000"/>
            <rFont val="Calibri"/>
          </rPr>
          <t>Les commentaires associés concerne les dossiers de crédits agricoles</t>
        </r>
      </text>
    </comment>
    <comment ref="M20" authorId="0" shapeId="0" xr:uid="{00000000-0006-0000-0900-000003000000}">
      <text>
        <r>
          <rPr>
            <sz val="11"/>
            <color rgb="FF000000"/>
            <rFont val="Calibri"/>
          </rPr>
          <t>L'agent de crédit peut indiquer le niveau de risque ou la probabilité de défaut lorsque ceci ne cadre pas avec le commentaire associé. Il devra donner ses arguments ici pour justifier sa cotation de risque.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F11" authorId="0" shapeId="0" xr:uid="{00000000-0006-0000-0A00-000001000000}">
      <text>
        <r>
          <rPr>
            <sz val="11"/>
            <color rgb="FF000000"/>
            <rFont val="Calibri"/>
          </rPr>
          <t>Narcisse Soglohoun:
Réservé à la direction générale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I24" authorId="0" shapeId="0" xr:uid="{00000000-0006-0000-0B00-000001000000}">
      <text>
        <r>
          <rPr>
            <sz val="11"/>
            <color rgb="FF000000"/>
            <rFont val="Calibri"/>
          </rPr>
          <t>Les autres frais ne sont pas nécessaires dans le calcul.  Dans autres frais, il faut y mettre : les frais d'ouverture de crédit ou frais de dossier, les diverses commissions, les frais d'assurance décès…. Tout frais supporté en sus des intérêts liés au crédit.  Cependant, c'est facultatif car généralement payé au décaissement</t>
        </r>
      </text>
    </comment>
  </commentList>
</comments>
</file>

<file path=xl/sharedStrings.xml><?xml version="1.0" encoding="utf-8"?>
<sst xmlns="http://schemas.openxmlformats.org/spreadsheetml/2006/main" count="1486" uniqueCount="797">
  <si>
    <t xml:space="preserve">L’emprunteur fait partie de l’élite des producteurs; il se démarque par ses capacités de gestionnaire et une bonne solidité financière.  Il maîtrise bien ses outils de production et est en mesure de donner à l’agent de crédit une information pertinente dans les délais requis.  Il respecte ses engagements personnels et financiers.
Bien qu’il n’existe aucune situation où les risques de défaut sont nuls, cette catégorie d’emprunteurs pourra disposer de conditions de crédit et d’encadrement favorables.
</t>
  </si>
  <si>
    <t>Fonds de roulement</t>
  </si>
  <si>
    <t>Cout de production</t>
  </si>
  <si>
    <t>Chiffre d'affaire</t>
  </si>
  <si>
    <t>Loyer</t>
  </si>
  <si>
    <t>Excellent</t>
  </si>
  <si>
    <t>Sous-sous-secteur d'activité</t>
  </si>
  <si>
    <t>Alibori</t>
  </si>
  <si>
    <t>ALIBORI</t>
  </si>
  <si>
    <t>ATACORA</t>
  </si>
  <si>
    <t>ATLANTIQUE</t>
  </si>
  <si>
    <t>BORGOU</t>
  </si>
  <si>
    <t>COLLINES</t>
  </si>
  <si>
    <t>COUFFO</t>
  </si>
  <si>
    <t>DONGA</t>
  </si>
  <si>
    <t>LITTORAL</t>
  </si>
  <si>
    <t>MONO</t>
  </si>
  <si>
    <t>OUÉMÉ</t>
  </si>
  <si>
    <t>PLATEAU</t>
  </si>
  <si>
    <t>ZOU</t>
  </si>
  <si>
    <t>AGRICULTURE</t>
  </si>
  <si>
    <t>COMMERCE</t>
  </si>
  <si>
    <t>ARTISANAT</t>
  </si>
  <si>
    <t>SERVICE</t>
  </si>
  <si>
    <t>INDUSTRIE</t>
  </si>
  <si>
    <t>Autre</t>
  </si>
  <si>
    <t>Production_animale</t>
  </si>
  <si>
    <t>Production_végétale</t>
  </si>
  <si>
    <t>Transformation</t>
  </si>
  <si>
    <t>Commercialisation</t>
  </si>
  <si>
    <t>Ratios</t>
  </si>
  <si>
    <t>Bon ratio</t>
  </si>
  <si>
    <t>Passable</t>
  </si>
  <si>
    <t>insuffisant</t>
  </si>
  <si>
    <t>Médiocre</t>
  </si>
  <si>
    <t>Prélèvement</t>
  </si>
  <si>
    <t xml:space="preserve">Revenus nets issus d'autres activités commerciales </t>
  </si>
  <si>
    <t xml:space="preserve">Il est évident que l’emprunteur ayant une cote de risque basse constitue aussi pour la compétition une cible de choix; l’agent de crédit devra donc éviter de négliger cette clientèle.  Avec cette clientèle, l'agent de crédit devra être proactif et orienté sur le maintien d’une bonne relation d’affaires et le service-conseil.
</t>
  </si>
  <si>
    <t>Achat d'intrants</t>
  </si>
  <si>
    <t>Production végétale</t>
  </si>
  <si>
    <t xml:space="preserve">Salaires employés </t>
  </si>
  <si>
    <t>Très bien</t>
  </si>
  <si>
    <t xml:space="preserve">Agrumes </t>
  </si>
  <si>
    <t>Atacora</t>
  </si>
  <si>
    <t>Banikoara</t>
  </si>
  <si>
    <t>Boukoumbé</t>
  </si>
  <si>
    <t>Abomey-Calavi</t>
  </si>
  <si>
    <t>Bembéréké</t>
  </si>
  <si>
    <t>Bantè</t>
  </si>
  <si>
    <t>Aplahoué</t>
  </si>
  <si>
    <t>Bassila</t>
  </si>
  <si>
    <t>Cotonou</t>
  </si>
  <si>
    <t>Athiémé</t>
  </si>
  <si>
    <t>Adjarra</t>
  </si>
  <si>
    <t>Ifangni</t>
  </si>
  <si>
    <t xml:space="preserve">Abomey </t>
  </si>
  <si>
    <t>Habillement</t>
  </si>
  <si>
    <t>Menuiserie</t>
  </si>
  <si>
    <t>Formation</t>
  </si>
  <si>
    <t>Fabrication</t>
  </si>
  <si>
    <t xml:space="preserve">Bovin </t>
  </si>
  <si>
    <t>Niveau de participation 
R ≤ 65 %</t>
  </si>
  <si>
    <t>Montant du crédit proposé</t>
  </si>
  <si>
    <t xml:space="preserve">Excellent ratio. Le niveau de participation de financement est très faible. </t>
  </si>
  <si>
    <t>Bon ratio. Le niveau de participation de financement est acceptable.</t>
  </si>
  <si>
    <t>Ratio passable. Le niveau de participation de financement est au seuil de la norme indiquée.</t>
  </si>
  <si>
    <t>Le niveau de participation de financement dépasse la limite sugérée.</t>
  </si>
  <si>
    <t>Attention, le niveau de participation de financement dépasse les dépenses prévues.</t>
  </si>
  <si>
    <t>Salaires net (après déduction des  engagements)</t>
  </si>
  <si>
    <t xml:space="preserve">L’emprunteur faisant partie de cette catégorie ne constitue pas un risque dans la mesure où il est bien encadré.  Sa maîtrise des outils de production et de gestion est bonne mais pourrait être améliorée.
 Puisque la majorité des emprunteurs font partie de cette catégorie, l’agent de crédit doit user de son jugement, s’appuyer sur son expérience et faire preuve de discernement afin de bien conseiller cette clientèle et appuyer son développement.
</t>
  </si>
  <si>
    <t>Achats de petits outillages</t>
  </si>
  <si>
    <t>Production animale</t>
  </si>
  <si>
    <t>Fourniture de bureau</t>
  </si>
  <si>
    <t>Bien</t>
  </si>
  <si>
    <t xml:space="preserve">Anacarde </t>
  </si>
  <si>
    <t>Atlantique</t>
  </si>
  <si>
    <t>Gogounou</t>
  </si>
  <si>
    <t>Cobly</t>
  </si>
  <si>
    <t xml:space="preserve">Allada </t>
  </si>
  <si>
    <t>Kalalé</t>
  </si>
  <si>
    <t xml:space="preserve">Dassa-Zoumè </t>
  </si>
  <si>
    <t>Djakotomey</t>
  </si>
  <si>
    <t>Copargo</t>
  </si>
  <si>
    <t>Bopa</t>
  </si>
  <si>
    <t>Adjohoun</t>
  </si>
  <si>
    <t>Adja-Ouèrè</t>
  </si>
  <si>
    <t>Agbangnizoun</t>
  </si>
  <si>
    <t>Restauration</t>
  </si>
  <si>
    <t>Soudure</t>
  </si>
  <si>
    <t>Assistance</t>
  </si>
  <si>
    <t>Aquaculture</t>
  </si>
  <si>
    <t>Total Dépenses d'exploitation</t>
  </si>
  <si>
    <t>&lt;=20%</t>
  </si>
  <si>
    <t>&gt;20 et &lt;=50</t>
  </si>
  <si>
    <t>&gt;50 et &lt;=65</t>
  </si>
  <si>
    <t>&gt;65 et &lt;=100</t>
  </si>
  <si>
    <t>&gt;100</t>
  </si>
  <si>
    <t>Prélèvement de l'exploitant</t>
  </si>
  <si>
    <t xml:space="preserve">Il peut s’agir d’un emprunteur de longue date qui a connu une situation adverse avec qui il faut opérer un redressement ou d’un emprunteur qui est financièrement plus serré, mais qui démontre des aptitudes pour progresser vers les catégories supérieures ou qui est en expansion rapide.
Bien que non obligatoire, le support d’un conseiller technique et de gestion pourrait être suggéré. Appuyez-vous sur les commentaires relatifs aux Ratios de décision pour valider votre recommandation.
</t>
  </si>
  <si>
    <t>Investissement</t>
  </si>
  <si>
    <t>Publicité et promotion</t>
  </si>
  <si>
    <t>Ananas</t>
  </si>
  <si>
    <t>Borgou</t>
  </si>
  <si>
    <t xml:space="preserve">Kandi </t>
  </si>
  <si>
    <t>Kérou</t>
  </si>
  <si>
    <t>Kpomassè</t>
  </si>
  <si>
    <t>N'Dali</t>
  </si>
  <si>
    <t>Glazoué</t>
  </si>
  <si>
    <t>Dogbo</t>
  </si>
  <si>
    <t xml:space="preserve">Djougou </t>
  </si>
  <si>
    <t>Comè</t>
  </si>
  <si>
    <t>Aguégués</t>
  </si>
  <si>
    <t>Kétou</t>
  </si>
  <si>
    <t>Bohicon</t>
  </si>
  <si>
    <t xml:space="preserve">Alimentation </t>
  </si>
  <si>
    <t>Coiffure</t>
  </si>
  <si>
    <t>Service divers</t>
  </si>
  <si>
    <t>Aviculture</t>
  </si>
  <si>
    <t xml:space="preserve">Couverture de l'échéance 
R ≥ 1,5 </t>
  </si>
  <si>
    <t>Capacité de remboursement</t>
  </si>
  <si>
    <t>&gt;4</t>
  </si>
  <si>
    <t>&lt;=4 et &gt;=2</t>
  </si>
  <si>
    <t>&lt;2 et &gt;=1,5</t>
  </si>
  <si>
    <t>&lt;1,5 et &gt;=1</t>
  </si>
  <si>
    <t>&lt;1</t>
  </si>
  <si>
    <t xml:space="preserve">Contribution d'autres personnes de la famille </t>
  </si>
  <si>
    <t xml:space="preserve">En tant que professionnel, l’agent de crédit doit traiter tous les emprunteurs avec considération et professionnalisme.  Avec les emprunteurs de cette catégorie, il devra donc considérer les demandes visant à améliorer la situation des emprunteurs tout en portant un suivi attentif à son dossier de crédit parce que celui-ci n’a pas une grande marge de manœuvre en cas de difficulté.
Puisque les emprunteurs dans cette catégorie ne pourront obtenir des crédits importants, le rôle de l’agent de crédit sera donc de les conseiller afin qu’ils utilisent leur crédit judicieusement, qu’ils respectent leurs échéances et qu’ils améliorent leur maîtrise de la production. Ceci afin de pouvoir améliorer leur cote de risque et l’accès au financement.
Les crédits devraient tous être adéquatement garantis et/ou avalisés.  Toute autre mesure d’atténuation de risque telle que l’assurance agricole (si cela existe) devrait être obligatoire. 
</t>
  </si>
  <si>
    <t>Téléphone / Internet</t>
  </si>
  <si>
    <t>Faible</t>
  </si>
  <si>
    <t>Collines</t>
  </si>
  <si>
    <t>Karimama</t>
  </si>
  <si>
    <t>Kouandé</t>
  </si>
  <si>
    <t>Ouidah</t>
  </si>
  <si>
    <t>Nikki</t>
  </si>
  <si>
    <t>Ouèssè</t>
  </si>
  <si>
    <t>Klouékanmè</t>
  </si>
  <si>
    <t>Ouaké</t>
  </si>
  <si>
    <t>Grand-Popo</t>
  </si>
  <si>
    <t>Akpro-Missérété</t>
  </si>
  <si>
    <t>Pobè</t>
  </si>
  <si>
    <t>Covè</t>
  </si>
  <si>
    <t>Cosmétique</t>
  </si>
  <si>
    <t>Mécanique</t>
  </si>
  <si>
    <t>Auto-école</t>
  </si>
  <si>
    <t xml:space="preserve">Caprin </t>
  </si>
  <si>
    <t xml:space="preserve">Arachide </t>
  </si>
  <si>
    <t>Service de la dette</t>
  </si>
  <si>
    <t xml:space="preserve">Excellent ratio. La couverture de l'échéance ou de service de la dette est confortable. </t>
  </si>
  <si>
    <t xml:space="preserve">Bon ratio. La couverture de l'échéance ou de service de la dette est bonne. </t>
  </si>
  <si>
    <t>Ratio acceptable. La couverture de l'échéance ou de service de la dette est rassurante.</t>
  </si>
  <si>
    <t>La couverture de l'échéance est acceptable mais trop juste. Le risque d'impayé est à prendre en compte.</t>
  </si>
  <si>
    <t>Ratio trop faible - L'échéance ou le service de la dette n'est pas couvert. Forte probabilité de défaut.</t>
  </si>
  <si>
    <t xml:space="preserve">Revenus nets issus de la location (biens immobiliers et/matériels) </t>
  </si>
  <si>
    <t xml:space="preserve">L’emprunteur (client) :
-      n'a pas d'expérience avérée dans le domaine
-      a de fortes probabilités d’être en défaut à court terme;
-      n’a pas de marge de manœuvre;
-      emprunte au-delà de sa capacité de remboursement.
-      a un mauvais historique de crédit;
-      a dans le passé, refusé certainement de collaborer afin de trouver des solutions à ses problèmes.
Appuyez-vous sur les commentaires associés aux ratios de décision avant de valider le rejet de cette demande de crédit.
</t>
  </si>
  <si>
    <t>Communication</t>
  </si>
  <si>
    <t>Très faible</t>
  </si>
  <si>
    <t xml:space="preserve">Pêche </t>
  </si>
  <si>
    <t>Couffo</t>
  </si>
  <si>
    <t>Malanville</t>
  </si>
  <si>
    <t>Matéri</t>
  </si>
  <si>
    <t>Sô-Ava</t>
  </si>
  <si>
    <t xml:space="preserve">Parakou </t>
  </si>
  <si>
    <t>Savalou</t>
  </si>
  <si>
    <t>Lalo</t>
  </si>
  <si>
    <t>Houéyogbé</t>
  </si>
  <si>
    <t>Avrankou</t>
  </si>
  <si>
    <t>Sakété</t>
  </si>
  <si>
    <t>Djidja</t>
  </si>
  <si>
    <t>Mercerie</t>
  </si>
  <si>
    <t>Maçonnerie</t>
  </si>
  <si>
    <t>École - Collège</t>
  </si>
  <si>
    <t xml:space="preserve">Ovin </t>
  </si>
  <si>
    <t>Coton</t>
  </si>
  <si>
    <t>Igname</t>
  </si>
  <si>
    <t>Ratio de fonds de roulement
R ≥ 1,5  </t>
  </si>
  <si>
    <t>Actif à court terme</t>
  </si>
  <si>
    <t>Autres sources de revenus</t>
  </si>
  <si>
    <t>Électricité</t>
  </si>
  <si>
    <t>Donga</t>
  </si>
  <si>
    <t>Segbana</t>
  </si>
  <si>
    <t xml:space="preserve">Natitingou </t>
  </si>
  <si>
    <t>Toffo</t>
  </si>
  <si>
    <t>Pèrèrè</t>
  </si>
  <si>
    <t>Savè</t>
  </si>
  <si>
    <t>Toviklin</t>
  </si>
  <si>
    <t>Lokossa</t>
  </si>
  <si>
    <t>Bonou</t>
  </si>
  <si>
    <t>Ouinhi</t>
  </si>
  <si>
    <t>Vaisselle -Émaux</t>
  </si>
  <si>
    <t>Cordonnerie</t>
  </si>
  <si>
    <t>Maïs</t>
  </si>
  <si>
    <t>Passif à court terme</t>
  </si>
  <si>
    <t xml:space="preserve">Excellent ratio. Il existe un fonds de roulement conséquent permettant de faire tourner l'activité. </t>
  </si>
  <si>
    <t xml:space="preserve">Bon ratio. Les actifs à court terme surpassent les dettes à moins d'un an et dégagent un surplus important. </t>
  </si>
  <si>
    <t xml:space="preserve">Ratio passable. Les actifs à court terme surpassent légèrement les dettes à moins d'un an. Risque d'insuffisance du fonds de roulement. </t>
  </si>
  <si>
    <t>Ratio trop faible - Fonds de roulement négatif. Nécessité de renforcer l'exploitation.</t>
  </si>
  <si>
    <t xml:space="preserve">Eau </t>
  </si>
  <si>
    <t>Nouveau Client</t>
  </si>
  <si>
    <t xml:space="preserve">Aviculture </t>
  </si>
  <si>
    <t>Littoral</t>
  </si>
  <si>
    <t>Pehonko</t>
  </si>
  <si>
    <t>Tori-Bossito</t>
  </si>
  <si>
    <t>Sinendé</t>
  </si>
  <si>
    <t>Dangbo</t>
  </si>
  <si>
    <t>Za-Kpota</t>
  </si>
  <si>
    <t>Pisciculture</t>
  </si>
  <si>
    <t>Mangue</t>
  </si>
  <si>
    <t>Ratio de solvabilité
R ≤ 0,5 </t>
  </si>
  <si>
    <t>Dettes totales</t>
  </si>
  <si>
    <t>&lt;0,1</t>
  </si>
  <si>
    <t>&gt;=0,1 et&lt;=0,5</t>
  </si>
  <si>
    <t>&gt;=0,5 et&lt;=1</t>
  </si>
  <si>
    <t>&gt;1</t>
  </si>
  <si>
    <t xml:space="preserve">Assurances </t>
  </si>
  <si>
    <t xml:space="preserve">Mono </t>
  </si>
  <si>
    <t>Tanguiéta</t>
  </si>
  <si>
    <t>Zè</t>
  </si>
  <si>
    <t>Tchaourou</t>
  </si>
  <si>
    <t xml:space="preserve">Porto-Novo </t>
  </si>
  <si>
    <t>Zagnanado</t>
  </si>
  <si>
    <t>Manioc</t>
  </si>
  <si>
    <t xml:space="preserve">Fonds propres </t>
  </si>
  <si>
    <t>Excellent ratio de solvabilité. Les dettes de l'entreprise sont très faibles par rapport aux fonds propres</t>
  </si>
  <si>
    <t>La norme de solvabilité est respectée. Les dettes de l'entreprise sont faibles par rapport aux fonds propres</t>
  </si>
  <si>
    <t>La norme de solvabilité n'est pas respectée. Les dettes de l'entreprise sont élevés et s'étendent vers le niveau de fonds propres</t>
  </si>
  <si>
    <t xml:space="preserve">Les dettes de l'entreprise sont très élevées et dépassent le niveau de fonds propres. L'entreprise n'est pas solvable. </t>
  </si>
  <si>
    <t>Frais de transport</t>
  </si>
  <si>
    <t xml:space="preserve">Bovin/Ovin/Caprin </t>
  </si>
  <si>
    <t>Ouémé</t>
  </si>
  <si>
    <t>Toucountouna</t>
  </si>
  <si>
    <t>Sèmè-Kpodji</t>
  </si>
  <si>
    <t>Zogbodomey</t>
  </si>
  <si>
    <t>Maraîchage</t>
  </si>
  <si>
    <t>Ratio de liquidité immédiate
R ≥ 1</t>
  </si>
  <si>
    <t>Trésorerie disponible</t>
  </si>
  <si>
    <t>&lt;2 et &gt;=1</t>
  </si>
  <si>
    <t>&lt;1 et &gt;=0,75</t>
  </si>
  <si>
    <t>&lt;075</t>
  </si>
  <si>
    <t>Entretien et réparation</t>
  </si>
  <si>
    <t>Plateau</t>
  </si>
  <si>
    <t>Niébé</t>
  </si>
  <si>
    <t>Excellent ratio. Les "dettes à moins d'un an" peuvent être réglées facilement.</t>
  </si>
  <si>
    <t>Très bon ratio. La trésorerie et les créances sont assez importantes pour régler les dettes à moins d'un an.</t>
  </si>
  <si>
    <t>Ratio respectant la norme. Les dettes à moins d'un an seront réglées.</t>
  </si>
  <si>
    <t>Ratio ne respectant pas la norme. Des difficultés subsistent pour le règlement des dettes à moins d'un an.</t>
  </si>
  <si>
    <t>Ratio hors norme. L'entreprise peut être en difficulté et doit compter sur la vente de ses stocks pour régler ses dettes à court terme.</t>
  </si>
  <si>
    <t>Critères</t>
  </si>
  <si>
    <t xml:space="preserve"> Cote de risque (1 à 6)</t>
  </si>
  <si>
    <t>Zone de risque maximun (proche de 6)</t>
  </si>
  <si>
    <t>Carburant</t>
  </si>
  <si>
    <t>Zou</t>
  </si>
  <si>
    <t>Palmier à huile</t>
  </si>
  <si>
    <t>Riz</t>
  </si>
  <si>
    <t>Ratio d'endettement
R &lt; 65 %</t>
  </si>
  <si>
    <t>Dettes totales + Crédit proposé</t>
  </si>
  <si>
    <t>&lt;10</t>
  </si>
  <si>
    <t>&gt;=10&lt;25</t>
  </si>
  <si>
    <t>&gt;=25&lt;75</t>
  </si>
  <si>
    <t>&gt;75&lt;=100</t>
  </si>
  <si>
    <t>Total</t>
  </si>
  <si>
    <t>Frais douane</t>
  </si>
  <si>
    <t>Manguier</t>
  </si>
  <si>
    <t xml:space="preserve">Soja </t>
  </si>
  <si>
    <t>Actif total + Crédit proposé</t>
  </si>
  <si>
    <t>Niveau d'endettement très faible pour l'entreprise. Elle peut profiter des crédits productifs pour sa croissance.</t>
  </si>
  <si>
    <t>Niveau d'endettement faible pour l'entreprise. Elle possède une bonne marge pour s'endetter davantage.</t>
  </si>
  <si>
    <t xml:space="preserve">Niveau d'endettement acceptable. </t>
  </si>
  <si>
    <t xml:space="preserve">Niveau d'endettement très élevé pour l'entreprise.  </t>
  </si>
  <si>
    <t>Surendettement de l'entreprise. Le nouveau crédit risque de plonger davantage l'entreprise</t>
  </si>
  <si>
    <t>Voyage ( Billet et hôtel)</t>
  </si>
  <si>
    <t>Sorgho</t>
  </si>
  <si>
    <t>Ratio de consommation familiale
35% &lt; R ≤ 65%</t>
  </si>
  <si>
    <t>Consommation familiale</t>
  </si>
  <si>
    <t>&lt;=35</t>
  </si>
  <si>
    <t>&gt;35&lt;=65</t>
  </si>
  <si>
    <t>Frais bancaires</t>
  </si>
  <si>
    <t>Revenus totaux</t>
  </si>
  <si>
    <t xml:space="preserve">Le niveau de consommation du ménage de l'entrepreneur est très faible. Il faut rechercher les dépenses familiales cachées. </t>
  </si>
  <si>
    <t xml:space="preserve">Le niveau de consommation du ménage de l'entrepreneur est dans les normes. </t>
  </si>
  <si>
    <t>Le niveau de consommation du ménage de l'entrepreneur est très élevé. Risque de détourner le crédit à des fins personnelles.</t>
  </si>
  <si>
    <t xml:space="preserve">Niveau de consommation très élevé et dépasant l'ensemble des revenus de l'entrepreneur. Risque d'impayé très présent. </t>
  </si>
  <si>
    <t>Intérêts sur emprunts</t>
  </si>
  <si>
    <t>Ratio de dependance des autres revenus
R ≤ 50%</t>
  </si>
  <si>
    <t>Autres revenus</t>
  </si>
  <si>
    <t>&lt;0</t>
  </si>
  <si>
    <t>&gt;0&lt;=50</t>
  </si>
  <si>
    <t>&gt;50&lt;100</t>
  </si>
  <si>
    <t>Échéance autre crédit</t>
  </si>
  <si>
    <t>Le cumul des revenus de cet entrepreneur est négatif - L'excédent d'exploitation est déficitaire ou trop faible</t>
  </si>
  <si>
    <t>L'entrepreneur n'a pas d'autres sources de revenus. Aucune déclaration à cet effet. À vérifier</t>
  </si>
  <si>
    <t xml:space="preserve">Ratio de dépendance aux autres revenus dans la norme. </t>
  </si>
  <si>
    <t>L'entrepreneur dépend énormément des autres revenus. Vérifier la rentabilité de l'activité à financer.</t>
  </si>
  <si>
    <t>Les autres revenus sont très importants dans la capacité financière du client. Vérifier la rentabilité réelle de l'activité.</t>
  </si>
  <si>
    <t xml:space="preserve">Impôts - Taxes et permis </t>
  </si>
  <si>
    <t>Réparation et maintenance</t>
  </si>
  <si>
    <t xml:space="preserve">Amortissement </t>
  </si>
  <si>
    <t>Provisions</t>
  </si>
  <si>
    <t>Honoraires professionnels</t>
  </si>
  <si>
    <t>Eau, électricté, téléphone</t>
  </si>
  <si>
    <t>FICHE D'ANALYSE DES DEMANDES DE CRÉDITS AGRICOLES</t>
  </si>
  <si>
    <t>Une proposition de Développement International Desjardins</t>
  </si>
  <si>
    <t>Adapatation (Guinée)</t>
  </si>
  <si>
    <t xml:space="preserve">Août_2022 </t>
  </si>
  <si>
    <t>A</t>
  </si>
  <si>
    <t>CONAKRY</t>
  </si>
  <si>
    <t>BOKÉ</t>
  </si>
  <si>
    <t>KINDIA</t>
  </si>
  <si>
    <t>MAMOU</t>
  </si>
  <si>
    <t>LABÉ</t>
  </si>
  <si>
    <t>FARANAH</t>
  </si>
  <si>
    <t>KANKAN</t>
  </si>
  <si>
    <t>NZÉRÉKORÉ</t>
  </si>
  <si>
    <t>Mensuelle</t>
  </si>
  <si>
    <t>Unique</t>
  </si>
  <si>
    <t>Montant Prélevé provision</t>
  </si>
  <si>
    <t>Montant prélevé Amortissement</t>
  </si>
  <si>
    <t>B</t>
  </si>
  <si>
    <t>Conakry</t>
  </si>
  <si>
    <t>Boffa</t>
  </si>
  <si>
    <t>Coyah</t>
  </si>
  <si>
    <t>Dalaba</t>
  </si>
  <si>
    <t>Koubia</t>
  </si>
  <si>
    <t>Dabola</t>
  </si>
  <si>
    <t>Kankan</t>
  </si>
  <si>
    <t>Beyla</t>
  </si>
  <si>
    <t>Ligne 1</t>
  </si>
  <si>
    <t xml:space="preserve">L’emprunteur faisant partie de cette catégorie ne constitue pas un risque dans la mesure où il est bien encadré.  Sa maîtrise des outils de production et de gestion est bonne mais pourrait être améliorée.
Puisque la majorité des emprunteurs font partie de cette catégorie, l’agent de crédit doit user de son jugement, s’appuyer sur son expérience et faire preuve de discernement afin de bien conseiller cette clientèle et appuyer son développement.
</t>
  </si>
  <si>
    <t>C</t>
  </si>
  <si>
    <t>Boké_</t>
  </si>
  <si>
    <t>Dubréka</t>
  </si>
  <si>
    <t>Mamou</t>
  </si>
  <si>
    <t>Labé</t>
  </si>
  <si>
    <t>Dinguiraye</t>
  </si>
  <si>
    <t>Kérouane</t>
  </si>
  <si>
    <t>Guéckédou</t>
  </si>
  <si>
    <t>Bimestrielle</t>
  </si>
  <si>
    <t>Ligne 2</t>
  </si>
  <si>
    <t xml:space="preserve">Il faut être prudent avec ce genre de client. Soit il est nouveau, soit il s’agir d’un emprunteur de longue date qui a connu une situation adverse avec qui il faut opérer un redressement ou d’un emprunteur qui est financièrement plus serré, mais qui démontre des aptitudes pour progresser.
Bien que non obligatoire, le support d’un conseiller technique et/ou de gestion pourrait être suggéré. Appuyez-vous sur les commentaires relatifs aux Ratios de décision pour valider votre recommandation.
</t>
  </si>
  <si>
    <t>D</t>
  </si>
  <si>
    <t>Fria</t>
  </si>
  <si>
    <t>Forécariah</t>
  </si>
  <si>
    <t>Pita</t>
  </si>
  <si>
    <t>Lélouma</t>
  </si>
  <si>
    <t>Faranah</t>
  </si>
  <si>
    <t>Kouroussa</t>
  </si>
  <si>
    <t>Lola</t>
  </si>
  <si>
    <t>Divers_Service</t>
  </si>
  <si>
    <t>Trimestrielle</t>
  </si>
  <si>
    <t>Ligne 3</t>
  </si>
  <si>
    <t xml:space="preserve">En tant que professionnel, l’agent de crédit doit traiter tous les emprunteurs avec considération et professionnalisme.  Avec les emprunteurs de cette catégorie, il devra donc considérer les demandes visant à améliorer la situation des emprunteurs tout en portant un suivi attentif à son dossier de crédit parce que celui-ci n’a pas une grande marge de manœuvre en cas de difficulté.
Puisque les emprunteurs dans cette catégorie ne pourront obtenir des crédits importants, le rôle de l’agent de crédit sera donc de les conseiller afin qu’ils utilisent leur crédit judicieusement, qu’ils respectent leurs échéances et qu’ils améliorent leur maîtrise de la production. Ceci afin de pouvoir améliorer leur cote de risque et l’accès au financement.
Les crédits devraient tous être adéquatement garantis et/ou avalisés.  Pour un crédit agricole, toute autre mesure d’atténuation de risque telle que l’assurance agricole (si cela existe) devrait être obligatoire. 
</t>
  </si>
  <si>
    <t>E</t>
  </si>
  <si>
    <t>Gaoual</t>
  </si>
  <si>
    <t>Kindia</t>
  </si>
  <si>
    <t>Mali</t>
  </si>
  <si>
    <t>Kissidougou</t>
  </si>
  <si>
    <t>Mandiana</t>
  </si>
  <si>
    <t>Macenta</t>
  </si>
  <si>
    <t>Auto_école</t>
  </si>
  <si>
    <t>Montant disponible en tranche</t>
  </si>
  <si>
    <t>Quadrimestre</t>
  </si>
  <si>
    <t>Ligne 4</t>
  </si>
  <si>
    <t xml:space="preserve">L’emprunteur (client) :
-      n'a pas d'expérience avérée dans le domaine
-      a de fortes probabilités d’être en défaut à court terme;
-      n’a pas de marge de manœuvre;
-      emprunte au-delà de sa capacité de remboursement.
-      a un mauvais historique de crédit;
-      si ancien, a dans le passé, refusé certainement de collaborer afin de trouver des solutions à ses problèmes.
Appuyez-vous sur les commentaires associés aux ratios de décision avant de valider le rejet de cette demande de crédit.
</t>
  </si>
  <si>
    <t>F</t>
  </si>
  <si>
    <t>Koundara</t>
  </si>
  <si>
    <t>Télimélé</t>
  </si>
  <si>
    <t>Tougué</t>
  </si>
  <si>
    <t>Nzérékoré</t>
  </si>
  <si>
    <t>École_Collège</t>
  </si>
  <si>
    <t>Semestrielle</t>
  </si>
  <si>
    <t>Ligne 5</t>
  </si>
  <si>
    <t>G</t>
  </si>
  <si>
    <t>Yomou</t>
  </si>
  <si>
    <t>Annuelle</t>
  </si>
  <si>
    <t>Ligne 6</t>
  </si>
  <si>
    <t>H</t>
  </si>
  <si>
    <t>Ligne 7</t>
  </si>
  <si>
    <t>I</t>
  </si>
  <si>
    <t>Boffa-Centre</t>
  </si>
  <si>
    <t>Boké-Centre</t>
  </si>
  <si>
    <t>Dabiss · Kamsar · Kanfarandé · Kolaboui · Malapouyah · Sangaredi · Sansalé · Tanéné</t>
  </si>
  <si>
    <t>Les dettes de l'entreprise sont élevées et risquent de s'étendre vers le niveau des fonds propres avec un nouveau crédit.</t>
  </si>
  <si>
    <t>ONE</t>
  </si>
  <si>
    <t>TWO</t>
  </si>
  <si>
    <t>THREE</t>
  </si>
  <si>
    <t>FOUR</t>
  </si>
  <si>
    <t>FIVE</t>
  </si>
  <si>
    <t>SIX</t>
  </si>
  <si>
    <t>Ligne 8</t>
  </si>
  <si>
    <t>Colia</t>
  </si>
  <si>
    <t>Bintimodiya</t>
  </si>
  <si>
    <t>Ligne 9</t>
  </si>
  <si>
    <t>Douprou</t>
  </si>
  <si>
    <t>Dabiss</t>
  </si>
  <si>
    <t>Ligne 10</t>
  </si>
  <si>
    <t>Koba-Tatema</t>
  </si>
  <si>
    <t>Kamsar</t>
  </si>
  <si>
    <t>Pomme de terre</t>
  </si>
  <si>
    <t>Lisso</t>
  </si>
  <si>
    <t>Kanfarandé</t>
  </si>
  <si>
    <t>Mankountan</t>
  </si>
  <si>
    <t>Kolaboui</t>
  </si>
  <si>
    <t>Tamita</t>
  </si>
  <si>
    <t>Malapouyah</t>
  </si>
  <si>
    <t xml:space="preserve">Niveau de consommation très élevé et dépassant l'ensemble des revenus de l'entrepreneur. Risque d'impayé très élevé. </t>
  </si>
  <si>
    <t>Tougnifili</t>
  </si>
  <si>
    <t>Sangaredi</t>
  </si>
  <si>
    <t>Redevance et autres</t>
  </si>
  <si>
    <t>Sansalé</t>
  </si>
  <si>
    <t>Attention ! Erreur ou le cumul des revenus de cet entrepreneur est négatif - L'excédent d'exploitation est déficitaire ou trop faible</t>
  </si>
  <si>
    <t>Tanéné</t>
  </si>
  <si>
    <t>Eau, électricité, téléphone</t>
  </si>
  <si>
    <t>Pôle A</t>
  </si>
  <si>
    <t xml:space="preserve">Riz, banane, ananas, agrume, légumes, palmier à huile, pêche, élevage, Taro. (Zone : Conakry, Forécariah, Dubréka, Boffa).
</t>
  </si>
  <si>
    <t>Pôle B</t>
  </si>
  <si>
    <t xml:space="preserve">Riz, culture fruitières, Maraichage, Manioc, Patate douce, Bovins. (Zone : Kindia, Mamou, Dalaba).
</t>
  </si>
  <si>
    <t>Pôle C</t>
  </si>
  <si>
    <t xml:space="preserve">Mais, Pomme de terre, Culture fruitière, Maraichage, Fonio, arachide, Elevage, Taro. (Zone : Pita, Labé, Mali, Koubia, Tougé, Lélouma).
</t>
  </si>
  <si>
    <t>Pôle D</t>
  </si>
  <si>
    <t xml:space="preserve">Riz, élevage bovins, arachide, coton, anacarde. (Zone : Boké, Télimelé, Koundara, Gaoual, Fria).
</t>
  </si>
  <si>
    <t>Pôle E</t>
  </si>
  <si>
    <t xml:space="preserve">Riz, arachide, élevage bovin, caprin, niébé, maïs, fonio, sorgho, mil. (Zone : Faranah, Dabola, Dinguiraye).
</t>
  </si>
  <si>
    <t>Pôle F</t>
  </si>
  <si>
    <t xml:space="preserve">Riz, mais, igname, manioc, coton, mangue, cultures maraichères, sorgho, mil.  (Zones : Kankan, Kouroussa, Siguiri, Mandiana).
</t>
  </si>
  <si>
    <t>Pôle G</t>
  </si>
  <si>
    <t xml:space="preserve">Riz palmier à huile, hévéa, café, cacao, banane, thé, élevage porcin. (Zone : Kissidougou, Guéckédou, Macenta).
</t>
  </si>
  <si>
    <t>Pôle H</t>
  </si>
  <si>
    <t xml:space="preserve">Riz, élevage bovin, maïs, légumes, manioc, banane plantin, niébé, cola. (Zone : Kérouané, Beyla, Lola).
</t>
  </si>
  <si>
    <t>Pôle I</t>
  </si>
  <si>
    <t>Riz, maïs, palmier à huile, hévéa, élevage porcin, manioc. (Zone : Nzérékoré, Yomou).</t>
  </si>
  <si>
    <t>Agence de :</t>
  </si>
  <si>
    <t>FORECARIAH</t>
  </si>
  <si>
    <t>Date de la demande :</t>
  </si>
  <si>
    <t>/</t>
  </si>
  <si>
    <t>Agent de crédit :</t>
  </si>
  <si>
    <t>MOHAMED MMAH CAMARA</t>
  </si>
  <si>
    <t xml:space="preserve">Catégorie de clientèle : </t>
  </si>
  <si>
    <t>Individuel</t>
  </si>
  <si>
    <t>1.</t>
  </si>
  <si>
    <t>INFORMATIONS SUR LE MEMBRE/CLIENT</t>
  </si>
  <si>
    <t>Nom et Prénoms :</t>
  </si>
  <si>
    <t>MARIAMA KABA</t>
  </si>
  <si>
    <t>Numéro/membre :</t>
  </si>
  <si>
    <t>(Suivant l'ordre de la pièce d’identité )</t>
  </si>
  <si>
    <t>Type  de pièce d'identité :</t>
  </si>
  <si>
    <t>Carte d'Identité Biométrique</t>
  </si>
  <si>
    <t>Référence :</t>
  </si>
  <si>
    <t>Date et lieu de naissance :</t>
  </si>
  <si>
    <t>à</t>
  </si>
  <si>
    <t>MAFERINYAH</t>
  </si>
  <si>
    <t>Genre :</t>
  </si>
  <si>
    <t>Femme</t>
  </si>
  <si>
    <t>Situation matrimoniale :</t>
  </si>
  <si>
    <t>Marié (e)</t>
  </si>
  <si>
    <t>Nombre de personnes à charge :</t>
  </si>
  <si>
    <t>Nombre d'enfants scolarisés :</t>
  </si>
  <si>
    <t>Adresse de domicile et Contact :</t>
  </si>
  <si>
    <t>PLANTEUSE A MAFERINYAH CENTRE SECTEUR OLYMPIA TEL:623597829</t>
  </si>
  <si>
    <t>(Quartier, maison, lot et numéro de téléphone)</t>
  </si>
  <si>
    <t>Nombre d'années à l'adresse :</t>
  </si>
  <si>
    <t>Type de propriété :</t>
  </si>
  <si>
    <t>Propriétaire</t>
  </si>
  <si>
    <t xml:space="preserve">2. </t>
  </si>
  <si>
    <t>ACTIVITÉS</t>
  </si>
  <si>
    <t>Type d'activité :</t>
  </si>
  <si>
    <t>Sous-activité :</t>
  </si>
  <si>
    <t>Description de l'activité :</t>
  </si>
  <si>
    <t>ACHAT D'UNE MACHINE ET INTRANTS AGRICOLE POUR LA REALISATION DE LA CULTURE D'ANANAS</t>
  </si>
  <si>
    <t>Nombre d'années dans l'activité :</t>
  </si>
  <si>
    <t>Adresse du lieu d'activité :</t>
  </si>
  <si>
    <t>REALISATION DE LA CULTURE D'ANANAS A TAMBAYAH ET CONTA</t>
  </si>
  <si>
    <t>(Depuis combien de temps vous exercez cette activité ?)</t>
  </si>
  <si>
    <t>Région administrative :</t>
  </si>
  <si>
    <t>Préfecture :</t>
  </si>
  <si>
    <t>Pôle de développement agricole (PDA) :</t>
  </si>
  <si>
    <t>Village :</t>
  </si>
  <si>
    <t>TAMBAYAH ET CONTA</t>
  </si>
  <si>
    <t>Autres activités :</t>
  </si>
  <si>
    <t>COMMERCE DE RIZ DU PAYS</t>
  </si>
  <si>
    <t>Lieu de l'activité :</t>
  </si>
  <si>
    <t>KABACK ET KAKOSSA</t>
  </si>
  <si>
    <t>3.</t>
  </si>
  <si>
    <t>MODALITÉS DE LA DEMANDE</t>
  </si>
  <si>
    <t>Montant demandé :</t>
  </si>
  <si>
    <t>GNF</t>
  </si>
  <si>
    <t>Durée demandée :</t>
  </si>
  <si>
    <t>Mois</t>
  </si>
  <si>
    <t>Périodicité de remboursement :</t>
  </si>
  <si>
    <t>Taux d'intérêts :</t>
  </si>
  <si>
    <t>Période de différé :</t>
  </si>
  <si>
    <t>Nombre d'échéance :</t>
  </si>
  <si>
    <t>Échéance :</t>
  </si>
  <si>
    <t>(Montant en GNF)</t>
  </si>
  <si>
    <t>Objet du crédit sollicité :</t>
  </si>
  <si>
    <t>Détail de l'objet de crédit :</t>
  </si>
  <si>
    <t>ACHAT D'UN TRACTEUR ET INTRANTS AGRICOLES POUR LA REALISATION DE LA CULTURE D'ANANAS A TAMBAYAH ET CONTA</t>
  </si>
  <si>
    <t>Nouveau crédit :</t>
  </si>
  <si>
    <t>Renouvellement :</t>
  </si>
  <si>
    <t>X</t>
  </si>
  <si>
    <t>Rang de crédit :</t>
  </si>
  <si>
    <t>4.</t>
  </si>
  <si>
    <t>GARANTIES PROPOSÉES</t>
  </si>
  <si>
    <t>Type de Garantie</t>
  </si>
  <si>
    <t>Nature / Description des garanties</t>
  </si>
  <si>
    <t xml:space="preserve"> Valeur de la garantie</t>
  </si>
  <si>
    <t xml:space="preserve"> Valeur d'emprunt</t>
  </si>
  <si>
    <t>Caution solidaire</t>
  </si>
  <si>
    <t xml:space="preserve">3 PERSONNES CAUTIONS </t>
  </si>
  <si>
    <t>Dépôt à terme</t>
  </si>
  <si>
    <t>Suretés réelles</t>
  </si>
  <si>
    <t>ATTESTATION DE CESSION ET PLAN DE MASSE( 1ha/2)</t>
  </si>
  <si>
    <t>Autre garantie</t>
  </si>
  <si>
    <t>ACTE AUTHENTIQUE CONVENTION D'HYPOTHEQUE</t>
  </si>
  <si>
    <t>AGENCE :</t>
  </si>
  <si>
    <t>Nom et Prénoms du client :</t>
  </si>
  <si>
    <t>N° Membre :</t>
  </si>
  <si>
    <t>Date d'évaluation :</t>
  </si>
  <si>
    <t>PÉRIODE DE LA CAMPAGNE AGRICOLE  :</t>
  </si>
  <si>
    <t>Au :</t>
  </si>
  <si>
    <t xml:space="preserve">Campagne </t>
  </si>
  <si>
    <t>Culture 1</t>
  </si>
  <si>
    <t>Culture 2</t>
  </si>
  <si>
    <t>Culture 3</t>
  </si>
  <si>
    <t>Culture 4</t>
  </si>
  <si>
    <t>Culture 5</t>
  </si>
  <si>
    <t>Culture 6</t>
  </si>
  <si>
    <t>TOTAL</t>
  </si>
  <si>
    <t>Type de culture</t>
  </si>
  <si>
    <t>ANANAS</t>
  </si>
  <si>
    <t>Surface cultivée  en ha</t>
  </si>
  <si>
    <t xml:space="preserve">ÉLÉMENTS </t>
  </si>
  <si>
    <t>COÛT DE PRODUCTION  (GNF)</t>
  </si>
  <si>
    <t>CHIFFRE D'AFFAIRES  (GNF)</t>
  </si>
  <si>
    <t>Marge brute totale sur production (GNF)</t>
  </si>
  <si>
    <t>Évaluation de l'apport personnel en main d'œuvre (force de travail personnel et familial)</t>
  </si>
  <si>
    <t>Besoins en crédit exprimés pour la production</t>
  </si>
  <si>
    <t>Nom et Prénoms du membre :</t>
  </si>
  <si>
    <t>Numéro client /membre :</t>
  </si>
  <si>
    <t>5.</t>
  </si>
  <si>
    <t>BILAN RECONSTITUE</t>
  </si>
  <si>
    <t>Éléments du bilan</t>
  </si>
  <si>
    <t>Actuel (N)</t>
  </si>
  <si>
    <t>Précédent (N-1)</t>
  </si>
  <si>
    <t>Commentaires</t>
  </si>
  <si>
    <t>Encaisse / Compte épargne IMF/ Banque</t>
  </si>
  <si>
    <t>Clients (ventes à crédit)</t>
  </si>
  <si>
    <t>Autres comptes à recevoir</t>
  </si>
  <si>
    <r>
      <t xml:space="preserve">Actif à court terme </t>
    </r>
    <r>
      <rPr>
        <b/>
        <sz val="8"/>
        <color rgb="FF000000"/>
        <rFont val="Calibri"/>
        <family val="2"/>
      </rPr>
      <t>(1+2+3+4)</t>
    </r>
  </si>
  <si>
    <t>Bâtiments (Magasins et autres)</t>
  </si>
  <si>
    <t>Autres actifs immobilisés</t>
  </si>
  <si>
    <r>
      <t xml:space="preserve">Actif à long terme </t>
    </r>
    <r>
      <rPr>
        <b/>
        <sz val="8"/>
        <color rgb="FF000000"/>
        <rFont val="Calibri"/>
        <family val="2"/>
      </rPr>
      <t>(6+7+8+9+10+11)</t>
    </r>
  </si>
  <si>
    <r>
      <t xml:space="preserve">TOTAL ACTIF </t>
    </r>
    <r>
      <rPr>
        <b/>
        <sz val="8"/>
        <color rgb="FF000000"/>
        <rFont val="Calibri"/>
        <family val="2"/>
      </rPr>
      <t>(5+12)</t>
    </r>
  </si>
  <si>
    <t>Dettes Fournisseurs</t>
  </si>
  <si>
    <t>Avances reçues des clients</t>
  </si>
  <si>
    <t>Intérêt à payer</t>
  </si>
  <si>
    <t>Autres comptes à payer</t>
  </si>
  <si>
    <r>
      <t xml:space="preserve">Passif court terme </t>
    </r>
    <r>
      <rPr>
        <b/>
        <sz val="8"/>
        <color rgb="FF000000"/>
        <rFont val="Calibri"/>
        <family val="2"/>
      </rPr>
      <t>(14+15+16+17)</t>
    </r>
  </si>
  <si>
    <t>Emprunt à payer / Autres dettes à + d'un an</t>
  </si>
  <si>
    <r>
      <t xml:space="preserve">DETTES TOTALES </t>
    </r>
    <r>
      <rPr>
        <b/>
        <sz val="8"/>
        <color rgb="FF000000"/>
        <rFont val="Calibri"/>
        <family val="2"/>
      </rPr>
      <t>(18+19)</t>
    </r>
  </si>
  <si>
    <t xml:space="preserve">CAPITAUX PROPRES </t>
  </si>
  <si>
    <r>
      <t xml:space="preserve">TOTAL PASSIF </t>
    </r>
    <r>
      <rPr>
        <b/>
        <sz val="8"/>
        <color rgb="FF000000"/>
        <rFont val="Calibri"/>
        <family val="2"/>
      </rPr>
      <t>(20+21)</t>
    </r>
  </si>
  <si>
    <r>
      <t xml:space="preserve">Fonds de roulement </t>
    </r>
    <r>
      <rPr>
        <b/>
        <sz val="8"/>
        <color rgb="FF000000"/>
        <rFont val="Calibri"/>
        <family val="2"/>
      </rPr>
      <t>(5-18)</t>
    </r>
  </si>
  <si>
    <r>
      <t xml:space="preserve">Besoin en Fonds de roulement </t>
    </r>
    <r>
      <rPr>
        <b/>
        <sz val="8"/>
        <color rgb="FF000000"/>
        <rFont val="Calibri"/>
        <family val="2"/>
      </rPr>
      <t>(23-1)</t>
    </r>
  </si>
  <si>
    <t>6.</t>
  </si>
  <si>
    <t>ANALYSE DES BESOINS RÉELS EN CRÉDIT</t>
  </si>
  <si>
    <t>CRÉDIT INVESTISSEMENT</t>
  </si>
  <si>
    <t>Valeurs</t>
  </si>
  <si>
    <t>TRACTEUR</t>
  </si>
  <si>
    <t xml:space="preserve">Dépenses rattachées à l’investissement </t>
  </si>
  <si>
    <t>INTRENTS</t>
  </si>
  <si>
    <t>Apport personnel (et/ou Subvention)</t>
  </si>
  <si>
    <r>
      <t xml:space="preserve">Besoins réels en crédit investissement </t>
    </r>
    <r>
      <rPr>
        <b/>
        <sz val="8"/>
        <color rgb="FF000000"/>
        <rFont val="Calibri"/>
        <family val="2"/>
      </rPr>
      <t xml:space="preserve">(25+26-27) </t>
    </r>
    <r>
      <rPr>
        <sz val="8"/>
        <color rgb="FF000000"/>
        <rFont val="Calibri"/>
        <family val="2"/>
      </rPr>
      <t xml:space="preserve"> </t>
    </r>
  </si>
  <si>
    <t>CRÉDIT PRODUCTION/EXPLOITATION</t>
  </si>
  <si>
    <r>
      <t xml:space="preserve">Stock actuel </t>
    </r>
    <r>
      <rPr>
        <b/>
        <sz val="8"/>
        <color rgb="FF000000"/>
        <rFont val="Calibri"/>
        <family val="2"/>
      </rPr>
      <t>(2)</t>
    </r>
  </si>
  <si>
    <r>
      <t xml:space="preserve">Comptes à recevoir </t>
    </r>
    <r>
      <rPr>
        <b/>
        <sz val="8"/>
        <color rgb="FF000000"/>
        <rFont val="Calibri"/>
        <family val="2"/>
      </rPr>
      <t>(3+4)</t>
    </r>
  </si>
  <si>
    <r>
      <t xml:space="preserve">Dettes fournisseurs et autres dettes </t>
    </r>
    <r>
      <rPr>
        <b/>
        <sz val="8"/>
        <color rgb="FF000000"/>
        <rFont val="Calibri"/>
        <family val="2"/>
      </rPr>
      <t>(18)</t>
    </r>
  </si>
  <si>
    <t>Crédit fournisseur (et/ou Subvention)</t>
  </si>
  <si>
    <t>Apport personnel en force de travail (personnel et familial)</t>
  </si>
  <si>
    <t>7.</t>
  </si>
  <si>
    <r>
      <t>ANALYSE BUDG</t>
    </r>
    <r>
      <rPr>
        <b/>
        <sz val="14"/>
        <color rgb="FF000000"/>
        <rFont val="Calibri"/>
        <family val="2"/>
      </rPr>
      <t>ÉTAIRE DES AUTRES REVENUS ET DÉ</t>
    </r>
    <r>
      <rPr>
        <b/>
        <sz val="14"/>
        <color rgb="FF000000"/>
        <rFont val="Calibri"/>
        <family val="2"/>
      </rPr>
      <t>PENSES DE LA FAMILLE</t>
    </r>
  </si>
  <si>
    <t>REVENUS</t>
  </si>
  <si>
    <t>Revenu mensuel</t>
  </si>
  <si>
    <t>Nbre de mois</t>
  </si>
  <si>
    <t>Revenu attendu pour la période</t>
  </si>
  <si>
    <t>Observations</t>
  </si>
  <si>
    <t>VENTE DE RIZ DU PAYS</t>
  </si>
  <si>
    <t>VENTE DES REJETS</t>
  </si>
  <si>
    <t>LOCATION TRACTEUR</t>
  </si>
  <si>
    <t>DÉPENSES FAMILIALES</t>
  </si>
  <si>
    <t>Coût mensuel</t>
  </si>
  <si>
    <t>Coût pour la période</t>
  </si>
  <si>
    <t>Frais d'alimentation</t>
  </si>
  <si>
    <t>Produits vivriers</t>
  </si>
  <si>
    <t>RIZ</t>
  </si>
  <si>
    <t xml:space="preserve">Condiments </t>
  </si>
  <si>
    <t>SAUCE</t>
  </si>
  <si>
    <t xml:space="preserve">Charbon - Bois - Gaz </t>
  </si>
  <si>
    <t>Redevance - Loyer</t>
  </si>
  <si>
    <t xml:space="preserve">Loyer </t>
  </si>
  <si>
    <t>LOCATION TERRAINS</t>
  </si>
  <si>
    <t xml:space="preserve">Electricité - eau </t>
  </si>
  <si>
    <t>ELECTRICITE</t>
  </si>
  <si>
    <t xml:space="preserve">Télécommunication </t>
  </si>
  <si>
    <t>TELEPHONE</t>
  </si>
  <si>
    <t xml:space="preserve">Transport en commun </t>
  </si>
  <si>
    <t xml:space="preserve">Entretien moto/auto </t>
  </si>
  <si>
    <t xml:space="preserve">Carburant moto/auto </t>
  </si>
  <si>
    <t>Autres frais de subsistance</t>
  </si>
  <si>
    <t xml:space="preserve">Frais d'habillement </t>
  </si>
  <si>
    <t>Frais médicaux</t>
  </si>
  <si>
    <t xml:space="preserve">Frais de scolarité </t>
  </si>
  <si>
    <t xml:space="preserve">Autres frais </t>
  </si>
  <si>
    <t>Travaux de constructions privées</t>
  </si>
  <si>
    <t>EXCÉDENT/MANQUANT DU BUDGET FAMILIAL</t>
  </si>
  <si>
    <t>12.</t>
  </si>
  <si>
    <t>COMPTE DE RÉSULTAT</t>
  </si>
  <si>
    <t>N°</t>
  </si>
  <si>
    <t>Eléments</t>
  </si>
  <si>
    <t>Période (n)</t>
  </si>
  <si>
    <t>Période (n-1)</t>
  </si>
  <si>
    <t xml:space="preserve">Chiffre d'affaires </t>
  </si>
  <si>
    <t>Les autres charges</t>
  </si>
  <si>
    <r>
      <t xml:space="preserve">Total des autres charges </t>
    </r>
    <r>
      <rPr>
        <b/>
        <i/>
        <sz val="8"/>
        <color rgb="FF000000"/>
        <rFont val="Calibri"/>
        <family val="2"/>
      </rPr>
      <t>(40+41+42+43+44+45+46+47+48+49)</t>
    </r>
  </si>
  <si>
    <t>Bénéfice net d'exploitation</t>
  </si>
  <si>
    <t>Surplus ou manquant du budget familial</t>
  </si>
  <si>
    <t>Les réintégrations (Capital du crédit, Amort et Prov.)</t>
  </si>
  <si>
    <t>Échéances des autres crédits en cours sur la période</t>
  </si>
  <si>
    <t>Montant disponible pour le remboursement du crédit</t>
  </si>
  <si>
    <t>13.</t>
  </si>
  <si>
    <t>RATIOS FINANCIERS D'AIDE À LA DÉCISION</t>
  </si>
  <si>
    <t>Formules</t>
  </si>
  <si>
    <t>Calculs</t>
  </si>
  <si>
    <t>Résultats</t>
  </si>
  <si>
    <t>Commentaire</t>
  </si>
  <si>
    <r>
      <t>Niveau de financement
R</t>
    </r>
    <r>
      <rPr>
        <b/>
        <vertAlign val="subscript"/>
        <sz val="9"/>
        <color rgb="FF000000"/>
        <rFont val="Calibri"/>
        <family val="2"/>
      </rPr>
      <t>1</t>
    </r>
    <r>
      <rPr>
        <b/>
        <sz val="9"/>
        <color rgb="FF000000"/>
        <rFont val="Calibri"/>
        <family val="2"/>
      </rPr>
      <t xml:space="preserve"> ≤ 65 %</t>
    </r>
  </si>
  <si>
    <r>
      <t>Capacité de remboursement 
R</t>
    </r>
    <r>
      <rPr>
        <b/>
        <vertAlign val="subscript"/>
        <sz val="9"/>
        <color rgb="FF000000"/>
        <rFont val="Calibri"/>
        <family val="2"/>
      </rPr>
      <t>2</t>
    </r>
    <r>
      <rPr>
        <b/>
        <sz val="9"/>
        <color rgb="FF000000"/>
        <rFont val="Calibri"/>
        <family val="2"/>
      </rPr>
      <t xml:space="preserve"> ≥ 1,5 </t>
    </r>
  </si>
  <si>
    <t>Montant disponible pour l'échéance</t>
  </si>
  <si>
    <t>Échéance du crédit</t>
  </si>
  <si>
    <r>
      <t>Ratio de fonds de roulement
R</t>
    </r>
    <r>
      <rPr>
        <b/>
        <vertAlign val="subscript"/>
        <sz val="9"/>
        <color rgb="FF000000"/>
        <rFont val="Calibri"/>
        <family val="2"/>
      </rPr>
      <t>3</t>
    </r>
    <r>
      <rPr>
        <b/>
        <sz val="9"/>
        <color rgb="FF000000"/>
        <rFont val="Calibri"/>
        <family val="2"/>
      </rPr>
      <t xml:space="preserve"> ≥ 1,5  </t>
    </r>
  </si>
  <si>
    <r>
      <t>Ratio de solvabilité
R</t>
    </r>
    <r>
      <rPr>
        <b/>
        <vertAlign val="subscript"/>
        <sz val="9"/>
        <color rgb="FF000000"/>
        <rFont val="Calibri"/>
        <family val="2"/>
      </rPr>
      <t>4</t>
    </r>
    <r>
      <rPr>
        <b/>
        <sz val="9"/>
        <color rgb="FF000000"/>
        <rFont val="Calibri"/>
        <family val="2"/>
      </rPr>
      <t xml:space="preserve"> ≤ 0,5 </t>
    </r>
  </si>
  <si>
    <r>
      <t>Ratio de liquidité à échéance
R</t>
    </r>
    <r>
      <rPr>
        <b/>
        <vertAlign val="subscript"/>
        <sz val="9"/>
        <color rgb="FF000000"/>
        <rFont val="Calibri"/>
        <family val="2"/>
      </rPr>
      <t>5</t>
    </r>
    <r>
      <rPr>
        <b/>
        <sz val="9"/>
        <color rgb="FF000000"/>
        <rFont val="Calibri"/>
        <family val="2"/>
      </rPr>
      <t xml:space="preserve"> ≥ 1</t>
    </r>
  </si>
  <si>
    <t>Actif circulant - Stock</t>
  </si>
  <si>
    <r>
      <t>Ratio d'endettement
R</t>
    </r>
    <r>
      <rPr>
        <b/>
        <vertAlign val="subscript"/>
        <sz val="9"/>
        <color rgb="FF000000"/>
        <rFont val="Calibri"/>
        <family val="2"/>
      </rPr>
      <t>6</t>
    </r>
    <r>
      <rPr>
        <b/>
        <sz val="9"/>
        <color rgb="FF000000"/>
        <rFont val="Calibri"/>
        <family val="2"/>
      </rPr>
      <t xml:space="preserve"> ≤ 65 %</t>
    </r>
  </si>
  <si>
    <r>
      <t>Ratio de consommation familiale
35% &lt; R</t>
    </r>
    <r>
      <rPr>
        <b/>
        <vertAlign val="subscript"/>
        <sz val="9"/>
        <color rgb="FF000000"/>
        <rFont val="Calibri"/>
        <family val="2"/>
      </rPr>
      <t>7</t>
    </r>
    <r>
      <rPr>
        <b/>
        <sz val="9"/>
        <color rgb="FF000000"/>
        <rFont val="Calibri"/>
        <family val="2"/>
      </rPr>
      <t xml:space="preserve"> ≤ 65%</t>
    </r>
  </si>
  <si>
    <r>
      <t>Ratio de dependance des autres revenus
R</t>
    </r>
    <r>
      <rPr>
        <b/>
        <vertAlign val="subscript"/>
        <sz val="9"/>
        <color rgb="FF000000"/>
        <rFont val="Calibri"/>
        <family val="2"/>
      </rPr>
      <t>8</t>
    </r>
    <r>
      <rPr>
        <b/>
        <sz val="9"/>
        <color rgb="FF000000"/>
        <rFont val="Calibri"/>
        <family val="2"/>
      </rPr>
      <t xml:space="preserve"> ≤ 50%</t>
    </r>
  </si>
  <si>
    <t>14. MATRICE D'ANALYSE ET DE DÉCISION</t>
  </si>
  <si>
    <r>
      <rPr>
        <b/>
        <sz val="12"/>
        <color rgb="FF000000"/>
        <rFont val="Calibri"/>
        <family val="2"/>
      </rPr>
      <t>CAPACITÉ DE L'ENTREPRENEUR</t>
    </r>
    <r>
      <rPr>
        <sz val="11"/>
        <color rgb="FF000000"/>
        <rFont val="Calibri"/>
        <family val="2"/>
      </rPr>
      <t xml:space="preserve"> 
</t>
    </r>
    <r>
      <rPr>
        <i/>
        <sz val="10"/>
        <color rgb="FF000000"/>
        <rFont val="Calibri"/>
        <family val="2"/>
      </rPr>
      <t>Stabilité sociale, Réputation,</t>
    </r>
    <r>
      <rPr>
        <sz val="11"/>
        <color rgb="FF000000"/>
        <rFont val="Calibri"/>
        <family val="2"/>
      </rPr>
      <t xml:space="preserve"> </t>
    </r>
    <r>
      <rPr>
        <i/>
        <sz val="10"/>
        <color rgb="FF000000"/>
        <rFont val="Calibri"/>
        <family val="2"/>
      </rPr>
      <t>Expérience dans l’activité, Formation, Techniques de production: rendements, historique, Encadrement technique, Antécédents de crédit, Associations culturales ou autres, Soins vétérinaires, Taux de mortalité, performances, Gestion des risques.</t>
    </r>
    <r>
      <rPr>
        <sz val="11"/>
        <color rgb="FF000000"/>
        <rFont val="Calibri"/>
        <family val="2"/>
      </rPr>
      <t xml:space="preserve">
</t>
    </r>
  </si>
  <si>
    <r>
      <rPr>
        <b/>
        <sz val="12"/>
        <color rgb="FF000000"/>
        <rFont val="Calibri"/>
        <family val="2"/>
      </rPr>
      <t>LE MARCHÉ</t>
    </r>
    <r>
      <rPr>
        <sz val="11"/>
        <color rgb="FF000000"/>
        <rFont val="Calibri"/>
        <family val="2"/>
      </rPr>
      <t xml:space="preserve">
</t>
    </r>
    <r>
      <rPr>
        <i/>
        <sz val="10"/>
        <color rgb="FF000000"/>
        <rFont val="Calibri"/>
        <family val="2"/>
      </rPr>
      <t xml:space="preserve">Débouchés pour le produit, Infrastructures pour la vente différée, Fluctuation des prix, Niveau d’organisation de la filière, Regroupement pour achat ou vente, Approvisionnement en intrants
</t>
    </r>
  </si>
  <si>
    <r>
      <rPr>
        <b/>
        <sz val="12"/>
        <color rgb="FF000000"/>
        <rFont val="Calibri"/>
        <family val="2"/>
      </rPr>
      <t>L'ACTIVITÉ À FINANCER</t>
    </r>
    <r>
      <rPr>
        <sz val="11"/>
        <color rgb="FF000000"/>
        <rFont val="Calibri"/>
        <family val="2"/>
      </rPr>
      <t xml:space="preserve">
</t>
    </r>
    <r>
      <rPr>
        <i/>
        <sz val="10"/>
        <color rgb="FF000000"/>
        <rFont val="Calibri"/>
        <family val="2"/>
      </rPr>
      <t xml:space="preserve">Production principale (superficie), Productions secondaires (superficies), Autres sources de revenus, Propriétaire, Rendements / productivité /rentabilité, Races
</t>
    </r>
    <r>
      <rPr>
        <sz val="11"/>
        <color rgb="FF000000"/>
        <rFont val="Calibri"/>
        <family val="2"/>
      </rPr>
      <t xml:space="preserve">
</t>
    </r>
  </si>
  <si>
    <r>
      <rPr>
        <b/>
        <sz val="12"/>
        <color rgb="FF000000"/>
        <rFont val="Calibri"/>
        <family val="2"/>
      </rPr>
      <t>LES FACTEURS EXTERNES</t>
    </r>
    <r>
      <rPr>
        <sz val="11"/>
        <color rgb="FF000000"/>
        <rFont val="Calibri"/>
        <family val="2"/>
      </rPr>
      <t xml:space="preserve">
</t>
    </r>
    <r>
      <rPr>
        <i/>
        <sz val="10"/>
        <color rgb="FF000000"/>
        <rFont val="Calibri"/>
        <family val="2"/>
      </rPr>
      <t xml:space="preserve">Qualité / fertilité du sol, Disponibilité en eau (irrigation), Mesures d’atténuation des risques (fonds de garantie, assurances, autres), Risques inondation / glissement de terrain, etc.
</t>
    </r>
  </si>
  <si>
    <t xml:space="preserve">15. ANALYSES DES FACTEURS DE RISQUES </t>
  </si>
  <si>
    <t>Critères d’analyse des risques</t>
  </si>
  <si>
    <t>Niveau de maîtrise par le client</t>
  </si>
  <si>
    <t>Cote de risque</t>
  </si>
  <si>
    <t>Commentaire associé</t>
  </si>
  <si>
    <t xml:space="preserve">Commentaires de l'agent de crédit </t>
  </si>
  <si>
    <r>
      <rPr>
        <b/>
        <i/>
        <sz val="12"/>
        <color rgb="FF000000"/>
        <rFont val="Calibri"/>
        <family val="2"/>
      </rPr>
      <t>A. Direction de l'activité</t>
    </r>
    <r>
      <rPr>
        <b/>
        <i/>
        <sz val="13"/>
        <color rgb="FF000000"/>
        <rFont val="Calibri"/>
        <family val="2"/>
      </rPr>
      <t xml:space="preserve">
</t>
    </r>
    <r>
      <rPr>
        <b/>
        <i/>
        <sz val="10"/>
        <color rgb="FF000000"/>
        <rFont val="Calibri"/>
        <family val="2"/>
      </rPr>
      <t>Compétences, expériences, qualité morale, stabilité sociale, planification, comptabilité, réputation, contrôle des prix, suivi du marché, etc.</t>
    </r>
    <r>
      <rPr>
        <b/>
        <i/>
        <sz val="13"/>
        <color rgb="FF000000"/>
        <rFont val="Calibri"/>
        <family val="2"/>
      </rPr>
      <t xml:space="preserve">  </t>
    </r>
  </si>
  <si>
    <r>
      <rPr>
        <b/>
        <i/>
        <sz val="12"/>
        <color rgb="FF000000"/>
        <rFont val="Calibri"/>
        <family val="2"/>
      </rPr>
      <t>B. Historique de crédits et scoring de remboursement</t>
    </r>
    <r>
      <rPr>
        <b/>
        <i/>
        <sz val="10"/>
        <color rgb="FF000000"/>
        <rFont val="Calibri"/>
        <family val="2"/>
      </rPr>
      <t xml:space="preserve">
Habitude de crédits, Historique de remboursement des crédits antérieurs, Présence de retard dans le dossier, Nombre de retards observés.</t>
    </r>
  </si>
  <si>
    <r>
      <rPr>
        <b/>
        <i/>
        <sz val="12"/>
        <color rgb="FF000000"/>
        <rFont val="Calibri"/>
        <family val="2"/>
      </rPr>
      <t xml:space="preserve">G. Environnement
</t>
    </r>
    <r>
      <rPr>
        <b/>
        <i/>
        <sz val="10"/>
        <color rgb="FF000000"/>
        <rFont val="Calibri"/>
        <family val="2"/>
      </rPr>
      <t>Respect de l'environnement, impact sur l'environnement, activité non prohibé, etc.</t>
    </r>
  </si>
  <si>
    <r>
      <rPr>
        <b/>
        <i/>
        <sz val="12"/>
        <color rgb="FF000000"/>
        <rFont val="Calibri"/>
        <family val="2"/>
      </rPr>
      <t xml:space="preserve">H. Capacité de remboursement, Solvabilité et niveau d'endettement
</t>
    </r>
    <r>
      <rPr>
        <b/>
        <i/>
        <sz val="10"/>
        <color rgb="FF000000"/>
        <rFont val="Calibri"/>
        <family val="2"/>
      </rPr>
      <t>La capacité de remboursement est-elle confortable ? L'entreprise est-elle capable de payer ses dettes ? Le niveau d'endettement, sera-t-il assez raisonnable avec un nouveau crédit ?</t>
    </r>
  </si>
  <si>
    <t>16. SYNTHÈSE DES RISQUES</t>
  </si>
  <si>
    <t>Critères d'analyse</t>
  </si>
  <si>
    <t>Pondération</t>
  </si>
  <si>
    <t>Cote attribué par l’Agent de Crédit (C)</t>
  </si>
  <si>
    <t>Pointage</t>
  </si>
  <si>
    <t>Proposée</t>
  </si>
  <si>
    <t>Ajustée</t>
  </si>
  <si>
    <t>(P)</t>
  </si>
  <si>
    <t>(P X C)</t>
  </si>
  <si>
    <r>
      <rPr>
        <sz val="13"/>
        <rFont val="Calibri"/>
        <family val="2"/>
      </rPr>
      <t xml:space="preserve">A. Direction </t>
    </r>
    <r>
      <rPr>
        <sz val="14"/>
        <rFont val="Calibri"/>
        <family val="2"/>
      </rPr>
      <t xml:space="preserve">
</t>
    </r>
    <r>
      <rPr>
        <sz val="10"/>
        <rFont val="Calibri"/>
        <family val="2"/>
      </rPr>
      <t xml:space="preserve">Compétences, expériences, qualité morale, stabilité sociale..  </t>
    </r>
  </si>
  <si>
    <t>B. Historique de crédits et scoring de remboursement</t>
  </si>
  <si>
    <t>D. Accès et position dans le marché</t>
  </si>
  <si>
    <t>E. Qualité des actifs de l'entreprise/exploitation</t>
  </si>
  <si>
    <t>G. Environnement</t>
  </si>
  <si>
    <t>H. Capacité de remboursement, Solvabilité et niveau d'endettement</t>
  </si>
  <si>
    <t>Commentaire sur la cote de risque</t>
  </si>
  <si>
    <t>17.</t>
  </si>
  <si>
    <t>RECOMMANDATION DE L'AGENT DE CRÉDIT</t>
  </si>
  <si>
    <t>Conditions sollicitées</t>
  </si>
  <si>
    <t>Conditons proposées</t>
  </si>
  <si>
    <t>Crédit sollicité</t>
  </si>
  <si>
    <t xml:space="preserve">Crédit proposé </t>
  </si>
  <si>
    <t>Taux d'intérêt</t>
  </si>
  <si>
    <t>Durée du crédit</t>
  </si>
  <si>
    <t>Durée du crédit (en mois)</t>
  </si>
  <si>
    <t>Différé</t>
  </si>
  <si>
    <t>Différé (en mois)</t>
  </si>
  <si>
    <t>Nombre d'échéance</t>
  </si>
  <si>
    <t>Montant échéance</t>
  </si>
  <si>
    <t>Montant échéance (C+I)</t>
  </si>
  <si>
    <t>Périodicité de remb.</t>
  </si>
  <si>
    <t xml:space="preserve">Intérêts sur crédit </t>
  </si>
  <si>
    <t>Garanties proposées</t>
  </si>
  <si>
    <t>Ratio de couverture des garanties acceptées</t>
  </si>
  <si>
    <r>
      <t>Norme &gt;</t>
    </r>
    <r>
      <rPr>
        <sz val="12"/>
        <color rgb="FF000000"/>
        <rFont val="Calibri"/>
        <family val="2"/>
      </rPr>
      <t xml:space="preserve"> </t>
    </r>
    <r>
      <rPr>
        <sz val="11"/>
        <color rgb="FF000000"/>
        <rFont val="Calibri"/>
        <family val="2"/>
      </rPr>
      <t>125%</t>
    </r>
  </si>
  <si>
    <t>Ratio =</t>
  </si>
  <si>
    <t>Commentaire et signature de l'agent de crédit</t>
  </si>
  <si>
    <t>18.</t>
  </si>
  <si>
    <t>AVIS DU SUPÉRIEUR HIÉRARCHIQUE</t>
  </si>
  <si>
    <t>19.</t>
  </si>
  <si>
    <t>DÉCISION DU COMITÉ DE CRÉDIT</t>
  </si>
  <si>
    <t>Montant accordé :</t>
  </si>
  <si>
    <t>Durée :</t>
  </si>
  <si>
    <t>mois</t>
  </si>
  <si>
    <t>Signatures</t>
  </si>
  <si>
    <t>8.</t>
  </si>
  <si>
    <t>COMPTE D'EXPLOITATION - TRANSFORMATION 1</t>
  </si>
  <si>
    <t xml:space="preserve">Éléments </t>
  </si>
  <si>
    <t>Unité</t>
  </si>
  <si>
    <t>Quantité</t>
  </si>
  <si>
    <t>Prix unitaire</t>
  </si>
  <si>
    <t>Montant</t>
  </si>
  <si>
    <t>Intrants</t>
  </si>
  <si>
    <t xml:space="preserve">Matières premières </t>
  </si>
  <si>
    <t>Intrant1</t>
  </si>
  <si>
    <t>Intrant2</t>
  </si>
  <si>
    <t>Intrant3</t>
  </si>
  <si>
    <t>Intrant4</t>
  </si>
  <si>
    <t>Intrant5</t>
  </si>
  <si>
    <t>Intrant6</t>
  </si>
  <si>
    <t>Intrant7</t>
  </si>
  <si>
    <t>Intrant8</t>
  </si>
  <si>
    <t>Main d'œuvre et usinage</t>
  </si>
  <si>
    <t xml:space="preserve">Main d'œuvre  </t>
  </si>
  <si>
    <t xml:space="preserve">Usinage </t>
  </si>
  <si>
    <t xml:space="preserve">Autre </t>
  </si>
  <si>
    <t>Coût total de production</t>
  </si>
  <si>
    <t>Chiffre d'affaires</t>
  </si>
  <si>
    <t>Produit principal 1</t>
  </si>
  <si>
    <t>Produit principal 2</t>
  </si>
  <si>
    <t>Sous-Produit 1</t>
  </si>
  <si>
    <t>Sous-Produit 2</t>
  </si>
  <si>
    <t>Sous-Produit 3</t>
  </si>
  <si>
    <t xml:space="preserve">Marge brute sur coût de production des produits dérivés </t>
  </si>
  <si>
    <t>9.</t>
  </si>
  <si>
    <t>COMPTE D'EXPLOITATION - TRANSFORMATION 2</t>
  </si>
  <si>
    <t>10.</t>
  </si>
  <si>
    <t>COMPTE D'EXPLOITATION - TRANSFORMATION 3</t>
  </si>
  <si>
    <t>11.</t>
  </si>
  <si>
    <t xml:space="preserve">COMPTE D'EXPLOITATION - </t>
  </si>
  <si>
    <t>Frais variables1</t>
  </si>
  <si>
    <t>Frais variables2</t>
  </si>
  <si>
    <t>Frais variables3</t>
  </si>
  <si>
    <t>Frais variables4</t>
  </si>
  <si>
    <t>Frais variables5</t>
  </si>
  <si>
    <t>Frais variables6</t>
  </si>
  <si>
    <t>Frais variables7</t>
  </si>
  <si>
    <t>Frais variables8</t>
  </si>
  <si>
    <t>Frais variables9</t>
  </si>
  <si>
    <t>Frais variables10</t>
  </si>
  <si>
    <t>Frais variables11</t>
  </si>
  <si>
    <t>Frais variables12</t>
  </si>
  <si>
    <t>Coût d'achats des produits agricoles</t>
  </si>
  <si>
    <t>Vente 1</t>
  </si>
  <si>
    <t>Vente 2</t>
  </si>
  <si>
    <t>Vente 3</t>
  </si>
  <si>
    <t>Vente 4</t>
  </si>
  <si>
    <t>Vente 5</t>
  </si>
  <si>
    <t>COMPTE D'EXPLOITATION - PRODUCTION ANIMALE</t>
  </si>
  <si>
    <t>Achats d'animaux et frais d'alimentation et d'entretien</t>
  </si>
  <si>
    <t>Frais variables0</t>
  </si>
  <si>
    <t>Coût de production</t>
  </si>
  <si>
    <t>Vente d'animaux 1</t>
  </si>
  <si>
    <t>Vente d'animaux 2</t>
  </si>
  <si>
    <t>Vente d'animaux 3</t>
  </si>
  <si>
    <t>Vente d'animaux 4</t>
  </si>
  <si>
    <t>Vente d'animaux 5</t>
  </si>
  <si>
    <t>Marge brute sur coût de production animale</t>
  </si>
  <si>
    <t>EVALUATION DES BIENS (Commerciaux et personnels) DU CLIENT - Choix de la garantie</t>
  </si>
  <si>
    <t>Biens à usage commercial</t>
  </si>
  <si>
    <t xml:space="preserve">Terrains et constructions </t>
  </si>
  <si>
    <t>en milliers de  GNF</t>
  </si>
  <si>
    <t>Nature du bien</t>
  </si>
  <si>
    <t>Localisation et adresse complète</t>
  </si>
  <si>
    <t>Date d'acquisition</t>
  </si>
  <si>
    <t>Superficie</t>
  </si>
  <si>
    <t>Coût d'acquisition</t>
  </si>
  <si>
    <t>Valeur marchande</t>
  </si>
  <si>
    <t>Maximum applicable %</t>
  </si>
  <si>
    <t xml:space="preserve">Valeur d'emprunt </t>
  </si>
  <si>
    <t xml:space="preserve"> </t>
  </si>
  <si>
    <t xml:space="preserve">Total partiel -Terrains et constructions </t>
  </si>
  <si>
    <t>Matériels de transport</t>
  </si>
  <si>
    <t xml:space="preserve">Marque # Modèle / année/Numéro de série </t>
  </si>
  <si>
    <t xml:space="preserve">  Immatriculation</t>
  </si>
  <si>
    <t>Total partiel - Matériels de transport</t>
  </si>
  <si>
    <t>Mobilier et matériel (autres)</t>
  </si>
  <si>
    <t>Description</t>
  </si>
  <si>
    <t>Description / Modèle / Marque et série</t>
  </si>
  <si>
    <t>Valeur d'emprunt</t>
  </si>
  <si>
    <t>Total partiel - Mobilier et matériel</t>
  </si>
  <si>
    <t>Inventaires des stocks et produits divers</t>
  </si>
  <si>
    <t>Nature et description des articles (matières premières, produits semis-finis, production, etc…)</t>
  </si>
  <si>
    <t>Total partiel - Inventaire</t>
  </si>
  <si>
    <t>Biens personnels</t>
  </si>
  <si>
    <t>Nature et Description</t>
  </si>
  <si>
    <t>Référence du bien</t>
  </si>
  <si>
    <t>Valeur totale des biens personnels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</si>
</sst>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_-* #,##0\ _€_-;\-* #,##0\ _€_-;_-* &quot;-&quot;??\ _€_-;_-@"/>
    <numFmt numFmtId="166" formatCode="[$-F800]dddd\,\ mmmm\ dd\,\ yyyy"/>
    <numFmt numFmtId="167" formatCode="_-* #,##0\ _C_F_A_-;\-* #,##0\ _C_F_A_-;_-* &quot;-&quot;\ _C_F_A_-;_-@"/>
    <numFmt numFmtId="168" formatCode="_(* #,##0.00_);_(* \(#,##0.00\);_(* &quot;-&quot;??_);_(@_)"/>
    <numFmt numFmtId="169" formatCode="_ * #,##0_)\ _$_ ;_ * \(#,##0\)\ _$_ ;_ * &quot;-&quot;??_)\ _$_ ;_ @_ "/>
  </numFmts>
  <fonts count="97" x14ac:knownFonts="1">
    <font>
      <sz val="11"/>
      <color rgb="FF000000"/>
      <name val="Calibri"/>
    </font>
    <font>
      <sz val="11"/>
      <color rgb="FF09FF78"/>
      <name val="Calibri"/>
      <family val="2"/>
    </font>
    <font>
      <b/>
      <sz val="11"/>
      <color rgb="FF09FF78"/>
      <name val="Calibri"/>
      <family val="2"/>
    </font>
    <font>
      <sz val="10"/>
      <color rgb="FF09FF78"/>
      <name val="Arial"/>
      <family val="2"/>
    </font>
    <font>
      <sz val="8"/>
      <color rgb="FF09FF78"/>
      <name val="Arial"/>
      <family val="2"/>
    </font>
    <font>
      <b/>
      <sz val="10"/>
      <color rgb="FF09FF78"/>
      <name val="Arial"/>
      <family val="2"/>
    </font>
    <font>
      <sz val="12"/>
      <color rgb="FF09FF78"/>
      <name val="Times New Roman"/>
      <family val="1"/>
    </font>
    <font>
      <b/>
      <sz val="12"/>
      <color rgb="FF09FF78"/>
      <name val="Calibri"/>
      <family val="2"/>
    </font>
    <font>
      <sz val="11"/>
      <name val="Calibri"/>
      <family val="2"/>
    </font>
    <font>
      <sz val="12"/>
      <color rgb="FF09FF78"/>
      <name val="Calibri"/>
      <family val="2"/>
    </font>
    <font>
      <i/>
      <sz val="11"/>
      <color rgb="FF09FF78"/>
      <name val="Calibri"/>
      <family val="2"/>
    </font>
    <font>
      <sz val="12"/>
      <color rgb="FF09FF78"/>
      <name val="Arial Narrow"/>
      <family val="2"/>
    </font>
    <font>
      <u/>
      <sz val="11"/>
      <color rgb="FF09FF78"/>
      <name val="Calibri"/>
      <family val="2"/>
    </font>
    <font>
      <b/>
      <sz val="8"/>
      <color rgb="FF09FF78"/>
      <name val="Calibri"/>
      <family val="2"/>
    </font>
    <font>
      <b/>
      <sz val="18"/>
      <color rgb="FF548135"/>
      <name val="Calibri"/>
      <family val="2"/>
    </font>
    <font>
      <sz val="11"/>
      <color rgb="FF548135"/>
      <name val="Calibri"/>
      <family val="2"/>
    </font>
    <font>
      <b/>
      <sz val="12"/>
      <color rgb="FF548135"/>
      <name val="Calibri"/>
      <family val="2"/>
    </font>
    <font>
      <b/>
      <sz val="11"/>
      <color rgb="FF548135"/>
      <name val="Calibri"/>
      <family val="2"/>
    </font>
    <font>
      <sz val="11"/>
      <name val="Calibri"/>
      <family val="2"/>
    </font>
    <font>
      <sz val="8"/>
      <name val="Calibri"/>
      <family val="2"/>
    </font>
    <font>
      <sz val="12"/>
      <name val="Calibri"/>
      <family val="2"/>
    </font>
    <font>
      <b/>
      <sz val="12"/>
      <name val="Calibri"/>
      <family val="2"/>
    </font>
    <font>
      <sz val="11"/>
      <color rgb="FFFF0000"/>
      <name val="Calibri"/>
      <family val="2"/>
    </font>
    <font>
      <i/>
      <sz val="11"/>
      <name val="Calibri"/>
      <family val="2"/>
    </font>
    <font>
      <b/>
      <sz val="11"/>
      <color rgb="FFFF0000"/>
      <name val="Calibri"/>
      <family val="2"/>
    </font>
    <font>
      <u/>
      <sz val="11"/>
      <name val="Calibri"/>
      <family val="2"/>
    </font>
    <font>
      <b/>
      <sz val="11"/>
      <name val="Calibri"/>
      <family val="2"/>
    </font>
    <font>
      <b/>
      <sz val="11"/>
      <color rgb="FF000000"/>
      <name val="Calibri"/>
      <family val="2"/>
    </font>
    <font>
      <b/>
      <sz val="20"/>
      <color rgb="FF000000"/>
      <name val="Arial"/>
      <family val="2"/>
    </font>
    <font>
      <b/>
      <sz val="16"/>
      <color rgb="FF000000"/>
      <name val="Calibri"/>
      <family val="2"/>
    </font>
    <font>
      <sz val="13"/>
      <color rgb="FF000000"/>
      <name val="Calibri"/>
      <family val="2"/>
    </font>
    <font>
      <sz val="14"/>
      <color rgb="FF002060"/>
      <name val="Calibri"/>
      <family val="2"/>
    </font>
    <font>
      <sz val="13"/>
      <color rgb="FF002060"/>
      <name val="Calibri"/>
      <family val="2"/>
    </font>
    <font>
      <sz val="12"/>
      <color rgb="FF002060"/>
      <name val="Calibri"/>
      <family val="2"/>
    </font>
    <font>
      <sz val="12"/>
      <color rgb="FF000000"/>
      <name val="Calibri"/>
      <family val="2"/>
    </font>
    <font>
      <sz val="11"/>
      <color rgb="FF002060"/>
      <name val="Calibri"/>
      <family val="2"/>
    </font>
    <font>
      <b/>
      <sz val="14"/>
      <color rgb="FF000000"/>
      <name val="Calibri"/>
      <family val="2"/>
    </font>
    <font>
      <b/>
      <sz val="13"/>
      <color rgb="FF000000"/>
      <name val="Calibri"/>
      <family val="2"/>
    </font>
    <font>
      <i/>
      <sz val="9"/>
      <color rgb="FF000000"/>
      <name val="Calibri"/>
      <family val="2"/>
    </font>
    <font>
      <b/>
      <i/>
      <sz val="13"/>
      <color rgb="FF000000"/>
      <name val="Calibri"/>
      <family val="2"/>
    </font>
    <font>
      <b/>
      <sz val="13"/>
      <color rgb="FF0070C0"/>
      <name val="Calibri"/>
      <family val="2"/>
    </font>
    <font>
      <sz val="13"/>
      <name val="Calibri"/>
      <family val="2"/>
    </font>
    <font>
      <b/>
      <sz val="11"/>
      <color rgb="FF0070C0"/>
      <name val="Calibri"/>
      <family val="2"/>
    </font>
    <font>
      <sz val="10"/>
      <color rgb="FF000000"/>
      <name val="Calibri"/>
      <family val="2"/>
    </font>
    <font>
      <sz val="13"/>
      <color rgb="FF0070C0"/>
      <name val="Calibri"/>
      <family val="2"/>
    </font>
    <font>
      <sz val="10"/>
      <color rgb="FF000000"/>
      <name val="Arial"/>
      <family val="2"/>
    </font>
    <font>
      <b/>
      <i/>
      <sz val="13"/>
      <color rgb="FFFF0000"/>
      <name val="Calibri"/>
      <family val="2"/>
    </font>
    <font>
      <b/>
      <u/>
      <sz val="13"/>
      <color rgb="FF000000"/>
      <name val="Calibri"/>
      <family val="2"/>
    </font>
    <font>
      <b/>
      <sz val="10"/>
      <color rgb="FF000000"/>
      <name val="Calibri"/>
      <family val="2"/>
    </font>
    <font>
      <sz val="12"/>
      <color rgb="FF000000"/>
      <name val="Arial"/>
      <family val="2"/>
    </font>
    <font>
      <b/>
      <sz val="12"/>
      <color rgb="FF000000"/>
      <name val="Arial"/>
      <family val="2"/>
    </font>
    <font>
      <b/>
      <i/>
      <sz val="11"/>
      <name val="Calibri"/>
      <family val="2"/>
    </font>
    <font>
      <b/>
      <sz val="12"/>
      <color rgb="FF000000"/>
      <name val="Calibri"/>
      <family val="2"/>
    </font>
    <font>
      <sz val="8"/>
      <color rgb="FFFF0000"/>
      <name val="Calibri"/>
      <family val="2"/>
    </font>
    <font>
      <b/>
      <i/>
      <sz val="11"/>
      <color rgb="FF000000"/>
      <name val="Calibri"/>
      <family val="2"/>
    </font>
    <font>
      <i/>
      <sz val="13"/>
      <color rgb="FF000000"/>
      <name val="Calibri"/>
      <family val="2"/>
    </font>
    <font>
      <b/>
      <sz val="9"/>
      <color rgb="FF000000"/>
      <name val="Calibri"/>
      <family val="2"/>
    </font>
    <font>
      <b/>
      <sz val="8"/>
      <color rgb="FF000000"/>
      <name val="Calibri"/>
      <family val="2"/>
    </font>
    <font>
      <i/>
      <sz val="8"/>
      <color rgb="FF000000"/>
      <name val="Arial"/>
      <family val="2"/>
    </font>
    <font>
      <b/>
      <i/>
      <sz val="13"/>
      <color rgb="FF0070C0"/>
      <name val="Calibri"/>
      <family val="2"/>
    </font>
    <font>
      <i/>
      <sz val="11"/>
      <color rgb="FF0070C0"/>
      <name val="Calibri"/>
      <family val="2"/>
    </font>
    <font>
      <b/>
      <sz val="12"/>
      <color rgb="FF0070C0"/>
      <name val="Calibri"/>
      <family val="2"/>
    </font>
    <font>
      <b/>
      <sz val="13"/>
      <color rgb="FF002060"/>
      <name val="Calibri"/>
      <family val="2"/>
    </font>
    <font>
      <b/>
      <i/>
      <sz val="12"/>
      <color rgb="FF000000"/>
      <name val="Calibri"/>
      <family val="2"/>
    </font>
    <font>
      <i/>
      <sz val="11"/>
      <color rgb="FF000000"/>
      <name val="Calibri"/>
      <family val="2"/>
    </font>
    <font>
      <sz val="8"/>
      <color rgb="FF000000"/>
      <name val="Calibri"/>
      <family val="2"/>
    </font>
    <font>
      <b/>
      <i/>
      <sz val="10"/>
      <color rgb="FF000000"/>
      <name val="Calibri"/>
      <family val="2"/>
    </font>
    <font>
      <b/>
      <sz val="14"/>
      <color rgb="FFFFFFFF"/>
      <name val="Calibri"/>
      <family val="2"/>
    </font>
    <font>
      <b/>
      <sz val="10"/>
      <color rgb="FFFFFFFF"/>
      <name val="Calibri"/>
      <family val="2"/>
    </font>
    <font>
      <sz val="14"/>
      <name val="Calibri"/>
      <family val="2"/>
    </font>
    <font>
      <b/>
      <sz val="18"/>
      <color rgb="FF26FAA9"/>
      <name val="Calibri"/>
      <family val="2"/>
    </font>
    <font>
      <b/>
      <sz val="14"/>
      <name val="Calibri"/>
      <family val="2"/>
    </font>
    <font>
      <b/>
      <sz val="13"/>
      <name val="Calibri"/>
      <family val="2"/>
    </font>
    <font>
      <b/>
      <sz val="13"/>
      <color rgb="FF26FAA9"/>
      <name val="Calibri"/>
      <family val="2"/>
    </font>
    <font>
      <sz val="11"/>
      <color rgb="FFFFFFFF"/>
      <name val="Calibri"/>
      <family val="2"/>
    </font>
    <font>
      <sz val="14"/>
      <color rgb="FF000000"/>
      <name val="Calibri"/>
      <family val="2"/>
    </font>
    <font>
      <b/>
      <sz val="12"/>
      <color rgb="FF002060"/>
      <name val="Calibri"/>
      <family val="2"/>
    </font>
    <font>
      <sz val="9"/>
      <color rgb="FF000000"/>
      <name val="Calibri"/>
      <family val="2"/>
    </font>
    <font>
      <b/>
      <sz val="11"/>
      <color rgb="FF002060"/>
      <name val="Calibri"/>
      <family val="2"/>
    </font>
    <font>
      <i/>
      <sz val="12"/>
      <color rgb="FF000000"/>
      <name val="Calibri"/>
      <family val="2"/>
    </font>
    <font>
      <b/>
      <i/>
      <sz val="13"/>
      <name val="Calibri"/>
      <family val="2"/>
    </font>
    <font>
      <b/>
      <i/>
      <sz val="20"/>
      <color rgb="FF0C0C0C"/>
      <name val="Arial"/>
      <family val="2"/>
    </font>
    <font>
      <b/>
      <i/>
      <sz val="18"/>
      <color rgb="FF000000"/>
      <name val="Arial"/>
      <family val="2"/>
    </font>
    <font>
      <sz val="6"/>
      <name val="Arial"/>
      <family val="2"/>
    </font>
    <font>
      <b/>
      <sz val="10"/>
      <name val="Arial"/>
      <family val="2"/>
    </font>
    <font>
      <b/>
      <sz val="8"/>
      <name val="Arial"/>
      <family val="2"/>
    </font>
    <font>
      <sz val="10"/>
      <name val="Arial"/>
      <family val="2"/>
    </font>
    <font>
      <b/>
      <sz val="12"/>
      <name val="Arial"/>
      <family val="2"/>
    </font>
    <font>
      <sz val="9"/>
      <name val="Arial"/>
      <family val="2"/>
    </font>
    <font>
      <i/>
      <sz val="10"/>
      <name val="Arial"/>
      <family val="2"/>
    </font>
    <font>
      <b/>
      <i/>
      <sz val="12"/>
      <name val="Arial"/>
      <family val="2"/>
    </font>
    <font>
      <b/>
      <sz val="10"/>
      <color rgb="FF000000"/>
      <name val="Arial"/>
      <family val="2"/>
    </font>
    <font>
      <b/>
      <i/>
      <sz val="8"/>
      <color rgb="FF000000"/>
      <name val="Calibri"/>
      <family val="2"/>
    </font>
    <font>
      <b/>
      <vertAlign val="subscript"/>
      <sz val="9"/>
      <color rgb="FF000000"/>
      <name val="Calibri"/>
      <family val="2"/>
    </font>
    <font>
      <sz val="11"/>
      <color rgb="FF000000"/>
      <name val="Calibri"/>
      <family val="2"/>
    </font>
    <font>
      <i/>
      <sz val="10"/>
      <color rgb="FF000000"/>
      <name val="Calibri"/>
      <family val="2"/>
    </font>
    <font>
      <sz val="10"/>
      <name val="Calibri"/>
      <family val="2"/>
    </font>
  </fonts>
  <fills count="17">
    <fill>
      <patternFill patternType="none"/>
    </fill>
    <fill>
      <patternFill patternType="gray125"/>
    </fill>
    <fill>
      <patternFill patternType="solid">
        <fgColor rgb="FF09FF78"/>
        <bgColor rgb="FF09FF78"/>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C00000"/>
        <bgColor rgb="FFC00000"/>
      </patternFill>
    </fill>
    <fill>
      <patternFill patternType="solid">
        <fgColor rgb="FFE2EFD9"/>
        <bgColor rgb="FFE2EFD9"/>
      </patternFill>
    </fill>
    <fill>
      <patternFill patternType="solid">
        <fgColor rgb="FFD8D8D8"/>
        <bgColor rgb="FFD8D8D8"/>
      </patternFill>
    </fill>
    <fill>
      <patternFill patternType="solid">
        <fgColor rgb="FFFEF2CB"/>
        <bgColor rgb="FFFEF2CB"/>
      </patternFill>
    </fill>
    <fill>
      <patternFill patternType="solid">
        <fgColor rgb="FFF2F2F2"/>
        <bgColor rgb="FFF2F2F2"/>
      </patternFill>
    </fill>
    <fill>
      <patternFill patternType="solid">
        <fgColor rgb="FFEAEAEA"/>
        <bgColor rgb="FFEAEAEA"/>
      </patternFill>
    </fill>
    <fill>
      <patternFill patternType="solid">
        <fgColor rgb="FF222A35"/>
        <bgColor rgb="FF222A35"/>
      </patternFill>
    </fill>
    <fill>
      <patternFill patternType="solid">
        <fgColor rgb="FF385623"/>
        <bgColor rgb="FF385623"/>
      </patternFill>
    </fill>
    <fill>
      <patternFill patternType="solid">
        <fgColor rgb="FFE7E6E6"/>
        <bgColor rgb="FFE7E6E6"/>
      </patternFill>
    </fill>
    <fill>
      <patternFill patternType="solid">
        <fgColor rgb="FFD9E2F3"/>
        <bgColor rgb="FFD9E2F3"/>
      </patternFill>
    </fill>
    <fill>
      <patternFill patternType="solid">
        <fgColor rgb="FFF8F8F8"/>
        <bgColor rgb="FFF8F8F8"/>
      </patternFill>
    </fill>
  </fills>
  <borders count="1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0000"/>
      </left>
      <right style="thin">
        <color rgb="FFFF0000"/>
      </right>
      <top style="thin">
        <color rgb="FFFF0000"/>
      </top>
      <bottom style="thin">
        <color rgb="FFFF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bottom/>
      <diagonal/>
    </border>
    <border>
      <left/>
      <right/>
      <top/>
      <bottom/>
      <diagonal/>
    </border>
    <border>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bottom style="thin">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33">
    <xf numFmtId="0" fontId="0" fillId="0" borderId="0" xfId="0"/>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2" fillId="2" borderId="1" xfId="0" applyFont="1" applyFill="1" applyBorder="1" applyAlignment="1">
      <alignment horizontal="left" vertical="center"/>
    </xf>
    <xf numFmtId="0" fontId="7" fillId="2" borderId="1" xfId="0" applyFont="1" applyFill="1" applyBorder="1" applyAlignment="1">
      <alignment horizontal="left" vertical="center"/>
    </xf>
    <xf numFmtId="0" fontId="2" fillId="2" borderId="1" xfId="0" applyFont="1" applyFill="1" applyBorder="1" applyAlignment="1">
      <alignment horizontal="center" vertical="center"/>
    </xf>
    <xf numFmtId="0" fontId="9" fillId="2" borderId="1" xfId="0" applyFont="1" applyFill="1" applyBorder="1" applyAlignment="1">
      <alignment vertical="center"/>
    </xf>
    <xf numFmtId="164" fontId="2" fillId="2" borderId="1" xfId="0" applyNumberFormat="1" applyFont="1" applyFill="1" applyBorder="1"/>
    <xf numFmtId="0" fontId="3" fillId="2" borderId="1" xfId="0" applyFont="1" applyFill="1" applyBorder="1" applyAlignment="1">
      <alignment vertical="center"/>
    </xf>
    <xf numFmtId="0" fontId="2" fillId="2" borderId="1" xfId="0" applyFont="1" applyFill="1" applyBorder="1" applyAlignment="1">
      <alignment vertical="top"/>
    </xf>
    <xf numFmtId="164" fontId="1" fillId="2" borderId="1" xfId="0" applyNumberFormat="1" applyFont="1" applyFill="1" applyBorder="1" applyAlignment="1">
      <alignment horizontal="center"/>
    </xf>
    <xf numFmtId="0" fontId="2" fillId="2" borderId="1" xfId="0" applyFont="1" applyFill="1" applyBorder="1" applyAlignment="1">
      <alignment vertical="center"/>
    </xf>
    <xf numFmtId="164" fontId="1" fillId="2" borderId="1" xfId="0" applyNumberFormat="1" applyFont="1" applyFill="1" applyBorder="1"/>
    <xf numFmtId="165" fontId="2" fillId="2" borderId="1" xfId="0" applyNumberFormat="1" applyFont="1" applyFill="1" applyBorder="1"/>
    <xf numFmtId="0" fontId="11" fillId="2" borderId="1" xfId="0" applyFont="1" applyFill="1" applyBorder="1" applyAlignment="1">
      <alignment vertical="center"/>
    </xf>
    <xf numFmtId="164" fontId="1" fillId="2" borderId="1" xfId="0" applyNumberFormat="1" applyFont="1" applyFill="1" applyBorder="1" applyAlignment="1">
      <alignment vertical="top"/>
    </xf>
    <xf numFmtId="0" fontId="1" fillId="2" borderId="1" xfId="0" applyFont="1" applyFill="1" applyBorder="1" applyAlignment="1">
      <alignment horizontal="center" vertical="center"/>
    </xf>
    <xf numFmtId="0" fontId="9" fillId="2" borderId="1" xfId="0" applyFont="1" applyFill="1" applyBorder="1"/>
    <xf numFmtId="0" fontId="9" fillId="2" borderId="1" xfId="0" applyFont="1" applyFill="1" applyBorder="1" applyAlignment="1">
      <alignment vertical="center" wrapText="1"/>
    </xf>
    <xf numFmtId="164" fontId="1" fillId="2" borderId="1" xfId="0" applyNumberFormat="1" applyFont="1" applyFill="1" applyBorder="1" applyAlignment="1">
      <alignment horizontal="center" vertical="top"/>
    </xf>
    <xf numFmtId="0" fontId="12" fillId="2" borderId="1" xfId="0" applyFont="1" applyFill="1" applyBorder="1" applyAlignment="1">
      <alignment horizontal="left" vertical="center" wrapText="1"/>
    </xf>
    <xf numFmtId="0" fontId="1" fillId="2" borderId="1" xfId="0" applyFont="1" applyFill="1" applyBorder="1" applyAlignment="1">
      <alignment horizontal="center" wrapText="1"/>
    </xf>
    <xf numFmtId="0" fontId="13" fillId="2" borderId="1" xfId="0" applyFont="1" applyFill="1" applyBorder="1" applyAlignment="1">
      <alignment horizontal="left" vertical="center" wrapText="1" readingOrder="1"/>
    </xf>
    <xf numFmtId="0" fontId="1" fillId="2" borderId="1" xfId="0" applyFont="1" applyFill="1" applyBorder="1" applyAlignment="1">
      <alignment horizontal="center"/>
    </xf>
    <xf numFmtId="0" fontId="1" fillId="3" borderId="1" xfId="0" applyFont="1" applyFill="1" applyBorder="1"/>
    <xf numFmtId="0" fontId="15" fillId="3" borderId="1" xfId="0" applyFont="1" applyFill="1" applyBorder="1"/>
    <xf numFmtId="0" fontId="18" fillId="0" borderId="0" xfId="0" applyFont="1" applyAlignment="1">
      <alignment horizontal="right" vertical="top"/>
    </xf>
    <xf numFmtId="0" fontId="19" fillId="0" borderId="0" xfId="0" applyFont="1" applyAlignment="1">
      <alignment horizontal="left" vertical="top" wrapText="1"/>
    </xf>
    <xf numFmtId="0" fontId="18" fillId="0" borderId="0" xfId="0" applyFont="1" applyAlignment="1">
      <alignment horizontal="left" vertical="top"/>
    </xf>
    <xf numFmtId="0" fontId="18" fillId="0" borderId="0" xfId="0" applyFont="1" applyAlignment="1">
      <alignment horizontal="left" vertical="top" wrapText="1"/>
    </xf>
    <xf numFmtId="0" fontId="20" fillId="0" borderId="0" xfId="0" applyFont="1" applyAlignment="1">
      <alignment horizontal="left" vertical="top"/>
    </xf>
    <xf numFmtId="167" fontId="18" fillId="4" borderId="1" xfId="0" applyNumberFormat="1" applyFont="1" applyFill="1" applyBorder="1" applyAlignment="1">
      <alignment horizontal="left" vertical="top"/>
    </xf>
    <xf numFmtId="167" fontId="21" fillId="0" borderId="0" xfId="0" applyNumberFormat="1" applyFont="1" applyAlignment="1">
      <alignment horizontal="left" vertical="top"/>
    </xf>
    <xf numFmtId="164" fontId="22" fillId="0" borderId="0" xfId="0" applyNumberFormat="1" applyFont="1" applyAlignment="1">
      <alignment horizontal="left" vertical="top"/>
    </xf>
    <xf numFmtId="164" fontId="18" fillId="0" borderId="0" xfId="0" applyNumberFormat="1" applyFont="1" applyAlignment="1">
      <alignment horizontal="left" vertical="top"/>
    </xf>
    <xf numFmtId="167" fontId="18" fillId="4" borderId="11" xfId="0" applyNumberFormat="1" applyFont="1" applyFill="1" applyBorder="1" applyAlignment="1">
      <alignment horizontal="left" vertical="top"/>
    </xf>
    <xf numFmtId="165" fontId="22" fillId="0" borderId="0" xfId="0" applyNumberFormat="1" applyFont="1" applyAlignment="1">
      <alignment horizontal="left" vertical="top"/>
    </xf>
    <xf numFmtId="0" fontId="20" fillId="0" borderId="0" xfId="0" applyFont="1" applyAlignment="1">
      <alignment horizontal="left" vertical="top" wrapText="1"/>
    </xf>
    <xf numFmtId="167" fontId="24" fillId="4" borderId="1" xfId="0" applyNumberFormat="1" applyFont="1" applyFill="1" applyBorder="1" applyAlignment="1">
      <alignment horizontal="left" vertical="top"/>
    </xf>
    <xf numFmtId="0" fontId="18" fillId="4" borderId="12" xfId="0" applyFont="1" applyFill="1" applyBorder="1" applyAlignment="1">
      <alignment horizontal="center" vertical="center"/>
    </xf>
    <xf numFmtId="0" fontId="18" fillId="4" borderId="12" xfId="0" applyFont="1" applyFill="1" applyBorder="1" applyAlignment="1">
      <alignment horizontal="left" vertical="top" wrapText="1"/>
    </xf>
    <xf numFmtId="0" fontId="25" fillId="0" borderId="0" xfId="0" applyFont="1" applyAlignment="1">
      <alignment horizontal="left" vertical="top" wrapText="1"/>
    </xf>
    <xf numFmtId="0" fontId="24" fillId="0" borderId="0" xfId="0" applyFont="1" applyAlignment="1">
      <alignment horizontal="center" vertical="top"/>
    </xf>
    <xf numFmtId="0" fontId="18" fillId="5" borderId="1" xfId="0" applyFont="1" applyFill="1" applyBorder="1" applyAlignment="1">
      <alignment horizontal="left" vertical="top"/>
    </xf>
    <xf numFmtId="168" fontId="18" fillId="0" borderId="0" xfId="0" applyNumberFormat="1" applyFont="1" applyAlignment="1">
      <alignment horizontal="left" vertical="top"/>
    </xf>
    <xf numFmtId="0" fontId="18" fillId="6" borderId="1" xfId="0" applyFont="1" applyFill="1" applyBorder="1" applyAlignment="1">
      <alignment horizontal="left" vertical="top"/>
    </xf>
    <xf numFmtId="0" fontId="18" fillId="0" borderId="0" xfId="0" applyFont="1" applyAlignment="1">
      <alignment horizontal="right" vertical="top" wrapText="1"/>
    </xf>
    <xf numFmtId="164" fontId="22" fillId="0" borderId="0" xfId="0" applyNumberFormat="1" applyFont="1" applyAlignment="1">
      <alignment horizontal="left" vertical="top" wrapText="1"/>
    </xf>
    <xf numFmtId="167" fontId="24" fillId="4" borderId="1" xfId="0" applyNumberFormat="1" applyFont="1" applyFill="1" applyBorder="1" applyAlignment="1">
      <alignment horizontal="left" vertical="top" wrapText="1"/>
    </xf>
    <xf numFmtId="0" fontId="26" fillId="4" borderId="1" xfId="0" applyFont="1" applyFill="1" applyBorder="1" applyAlignment="1">
      <alignment horizontal="left" vertical="top" wrapText="1"/>
    </xf>
    <xf numFmtId="0" fontId="18" fillId="4" borderId="1" xfId="0" applyFont="1" applyFill="1" applyBorder="1" applyAlignment="1">
      <alignment horizontal="left" vertical="top"/>
    </xf>
    <xf numFmtId="166" fontId="18" fillId="0" borderId="0" xfId="0" applyNumberFormat="1" applyFont="1" applyAlignment="1">
      <alignment horizontal="left" vertical="top"/>
    </xf>
    <xf numFmtId="0" fontId="27" fillId="0" borderId="0" xfId="0" applyFont="1" applyAlignment="1">
      <alignment horizontal="left"/>
    </xf>
    <xf numFmtId="0" fontId="28" fillId="0" borderId="0" xfId="0" applyFont="1" applyAlignment="1">
      <alignment horizontal="center" vertical="center"/>
    </xf>
    <xf numFmtId="0" fontId="29" fillId="0" borderId="0" xfId="0" applyFont="1" applyAlignment="1">
      <alignment horizontal="left"/>
    </xf>
    <xf numFmtId="0" fontId="30" fillId="0" borderId="0" xfId="0" applyFont="1" applyAlignment="1">
      <alignment horizontal="right" vertical="center"/>
    </xf>
    <xf numFmtId="0" fontId="30" fillId="0" borderId="0" xfId="0" applyFont="1" applyAlignment="1">
      <alignment horizontal="left"/>
    </xf>
    <xf numFmtId="0" fontId="32" fillId="7" borderId="20" xfId="0" applyFont="1" applyFill="1" applyBorder="1" applyAlignment="1">
      <alignment horizontal="center"/>
    </xf>
    <xf numFmtId="0" fontId="0" fillId="0" borderId="0" xfId="0" applyAlignment="1">
      <alignment horizontal="center"/>
    </xf>
    <xf numFmtId="0" fontId="30" fillId="0" borderId="0" xfId="0" applyFont="1" applyAlignment="1">
      <alignment horizontal="right"/>
    </xf>
    <xf numFmtId="0" fontId="34" fillId="0" borderId="0" xfId="0" applyFont="1" applyAlignment="1">
      <alignment horizontal="right" vertical="center"/>
    </xf>
    <xf numFmtId="0" fontId="36" fillId="8" borderId="23" xfId="0" applyFont="1" applyFill="1" applyBorder="1"/>
    <xf numFmtId="0" fontId="36" fillId="8" borderId="24" xfId="0" applyFont="1" applyFill="1" applyBorder="1"/>
    <xf numFmtId="0" fontId="0" fillId="8" borderId="24" xfId="0" applyFill="1" applyBorder="1"/>
    <xf numFmtId="0" fontId="0" fillId="8" borderId="25" xfId="0" applyFill="1" applyBorder="1"/>
    <xf numFmtId="0" fontId="0" fillId="0" borderId="26" xfId="0" applyBorder="1"/>
    <xf numFmtId="0" fontId="0" fillId="0" borderId="27" xfId="0" applyBorder="1"/>
    <xf numFmtId="0" fontId="30" fillId="0" borderId="0" xfId="0" applyFont="1" applyAlignment="1">
      <alignment horizontal="center"/>
    </xf>
    <xf numFmtId="0" fontId="37" fillId="0" borderId="0" xfId="0" applyFont="1" applyAlignment="1">
      <alignment horizontal="left"/>
    </xf>
    <xf numFmtId="0" fontId="39" fillId="0" borderId="0" xfId="0" applyFont="1" applyAlignment="1">
      <alignment horizontal="center"/>
    </xf>
    <xf numFmtId="0" fontId="37" fillId="0" borderId="0" xfId="0" applyFont="1" applyAlignment="1">
      <alignment horizontal="left" vertical="top" wrapText="1"/>
    </xf>
    <xf numFmtId="0" fontId="40" fillId="0" borderId="0" xfId="0" applyFont="1" applyAlignment="1">
      <alignment horizontal="center" vertical="top" wrapText="1"/>
    </xf>
    <xf numFmtId="0" fontId="37" fillId="0" borderId="0" xfId="0" applyFont="1" applyAlignment="1">
      <alignment horizontal="center" wrapText="1"/>
    </xf>
    <xf numFmtId="0" fontId="37" fillId="0" borderId="0" xfId="0" applyFont="1" applyAlignment="1">
      <alignment wrapText="1"/>
    </xf>
    <xf numFmtId="0" fontId="37" fillId="0" borderId="0" xfId="0" applyFont="1"/>
    <xf numFmtId="0" fontId="27" fillId="0" borderId="0" xfId="0" applyFont="1"/>
    <xf numFmtId="0" fontId="27" fillId="0" borderId="27" xfId="0" applyFont="1" applyBorder="1" applyAlignment="1">
      <alignment horizontal="left"/>
    </xf>
    <xf numFmtId="0" fontId="32" fillId="7" borderId="1" xfId="0" applyFont="1" applyFill="1" applyBorder="1" applyAlignment="1">
      <alignment horizontal="center" vertical="center"/>
    </xf>
    <xf numFmtId="0" fontId="30" fillId="0" borderId="0" xfId="0" applyFont="1"/>
    <xf numFmtId="0" fontId="30" fillId="0" borderId="0" xfId="0" applyFont="1" applyAlignment="1">
      <alignment vertical="center" wrapText="1"/>
    </xf>
    <xf numFmtId="0" fontId="27" fillId="0" borderId="0" xfId="0" applyFont="1" applyAlignment="1">
      <alignment horizontal="left" vertical="center" wrapText="1"/>
    </xf>
    <xf numFmtId="0" fontId="0" fillId="0" borderId="0" xfId="0" applyAlignment="1">
      <alignment horizontal="center" vertical="center" wrapText="1"/>
    </xf>
    <xf numFmtId="0" fontId="27" fillId="0" borderId="0" xfId="0" applyFont="1" applyAlignment="1">
      <alignment wrapText="1"/>
    </xf>
    <xf numFmtId="0" fontId="0" fillId="0" borderId="0" xfId="0" applyAlignment="1">
      <alignment wrapText="1"/>
    </xf>
    <xf numFmtId="0" fontId="30" fillId="0" borderId="0" xfId="0" applyFont="1" applyAlignment="1">
      <alignment horizontal="left" vertical="center" wrapText="1"/>
    </xf>
    <xf numFmtId="0" fontId="30" fillId="0" borderId="0" xfId="0" applyFont="1" applyAlignment="1">
      <alignment vertical="center"/>
    </xf>
    <xf numFmtId="0" fontId="0" fillId="0" borderId="29" xfId="0" applyBorder="1"/>
    <xf numFmtId="0" fontId="0" fillId="0" borderId="30" xfId="0" applyBorder="1"/>
    <xf numFmtId="0" fontId="0" fillId="0" borderId="31" xfId="0" applyBorder="1"/>
    <xf numFmtId="0" fontId="38" fillId="0" borderId="0" xfId="0" applyFont="1" applyAlignment="1">
      <alignment horizontal="center" vertical="top"/>
    </xf>
    <xf numFmtId="0" fontId="30" fillId="0" borderId="0" xfId="0" applyFont="1" applyAlignment="1">
      <alignment horizontal="left" vertical="center"/>
    </xf>
    <xf numFmtId="0" fontId="0" fillId="0" borderId="0" xfId="0" applyAlignment="1">
      <alignment vertical="center"/>
    </xf>
    <xf numFmtId="0" fontId="0" fillId="0" borderId="26" xfId="0" applyBorder="1" applyAlignment="1">
      <alignment vertical="center"/>
    </xf>
    <xf numFmtId="0" fontId="0" fillId="0" borderId="27" xfId="0" applyBorder="1" applyAlignment="1">
      <alignment vertical="center"/>
    </xf>
    <xf numFmtId="0" fontId="38" fillId="0" borderId="0" xfId="0" applyFont="1" applyAlignment="1">
      <alignment vertical="top"/>
    </xf>
    <xf numFmtId="0" fontId="34" fillId="7" borderId="12" xfId="0" applyFont="1" applyFill="1" applyBorder="1" applyAlignment="1">
      <alignment horizontal="center" vertical="center"/>
    </xf>
    <xf numFmtId="0" fontId="45" fillId="0" borderId="26" xfId="0" applyFont="1" applyBorder="1" applyAlignment="1">
      <alignment vertical="center" wrapText="1"/>
    </xf>
    <xf numFmtId="0" fontId="46" fillId="0" borderId="0" xfId="0" applyFont="1"/>
    <xf numFmtId="0" fontId="37" fillId="0" borderId="0" xfId="0" applyFont="1" applyAlignment="1">
      <alignment horizontal="right"/>
    </xf>
    <xf numFmtId="0" fontId="30" fillId="10" borderId="1" xfId="0" applyFont="1" applyFill="1" applyBorder="1" applyAlignment="1">
      <alignment horizontal="left"/>
    </xf>
    <xf numFmtId="0" fontId="30" fillId="0" borderId="48" xfId="0" applyFont="1" applyBorder="1"/>
    <xf numFmtId="14" fontId="30" fillId="7" borderId="20" xfId="0" applyNumberFormat="1" applyFont="1" applyFill="1" applyBorder="1"/>
    <xf numFmtId="14" fontId="30" fillId="0" borderId="48" xfId="0" applyNumberFormat="1" applyFont="1" applyBorder="1"/>
    <xf numFmtId="14" fontId="30" fillId="0" borderId="0" xfId="0" applyNumberFormat="1" applyFont="1"/>
    <xf numFmtId="14" fontId="37" fillId="7" borderId="20" xfId="0" applyNumberFormat="1" applyFont="1" applyFill="1" applyBorder="1" applyAlignment="1">
      <alignment horizontal="center"/>
    </xf>
    <xf numFmtId="0" fontId="37" fillId="0" borderId="0" xfId="0" applyFont="1" applyAlignment="1">
      <alignment horizontal="center"/>
    </xf>
    <xf numFmtId="14" fontId="47" fillId="7" borderId="1" xfId="0" applyNumberFormat="1" applyFont="1" applyFill="1" applyBorder="1" applyAlignment="1">
      <alignment horizontal="center"/>
    </xf>
    <xf numFmtId="0" fontId="27" fillId="0" borderId="0" xfId="0" applyFont="1" applyAlignment="1">
      <alignment horizontal="right"/>
    </xf>
    <xf numFmtId="0" fontId="0" fillId="0" borderId="49" xfId="0" applyBorder="1" applyAlignment="1">
      <alignment horizontal="center"/>
    </xf>
    <xf numFmtId="0" fontId="0" fillId="0" borderId="14" xfId="0" applyBorder="1" applyAlignment="1">
      <alignment horizontal="center"/>
    </xf>
    <xf numFmtId="0" fontId="27" fillId="0" borderId="49" xfId="0" applyFont="1" applyBorder="1" applyAlignment="1">
      <alignment horizontal="center"/>
    </xf>
    <xf numFmtId="0" fontId="27" fillId="0" borderId="13" xfId="0" applyFont="1" applyBorder="1" applyAlignment="1">
      <alignment vertical="center"/>
    </xf>
    <xf numFmtId="164" fontId="48" fillId="7" borderId="50" xfId="0" applyNumberFormat="1" applyFont="1" applyFill="1" applyBorder="1" applyAlignment="1">
      <alignment horizontal="center" vertical="center" wrapText="1"/>
    </xf>
    <xf numFmtId="164" fontId="48" fillId="7" borderId="1" xfId="0" applyNumberFormat="1" applyFont="1" applyFill="1" applyBorder="1" applyAlignment="1">
      <alignment horizontal="center" vertical="center" wrapText="1"/>
    </xf>
    <xf numFmtId="164" fontId="27" fillId="7" borderId="1" xfId="0" applyNumberFormat="1" applyFont="1" applyFill="1" applyBorder="1" applyAlignment="1">
      <alignment horizontal="center" vertical="center" wrapText="1"/>
    </xf>
    <xf numFmtId="164" fontId="27" fillId="0" borderId="51" xfId="0" applyNumberFormat="1" applyFont="1" applyBorder="1" applyAlignment="1">
      <alignment horizontal="center" vertical="center"/>
    </xf>
    <xf numFmtId="0" fontId="0" fillId="0" borderId="52" xfId="0" applyBorder="1"/>
    <xf numFmtId="0" fontId="49" fillId="7" borderId="49" xfId="0" applyFont="1" applyFill="1" applyBorder="1" applyAlignment="1">
      <alignment horizontal="center"/>
    </xf>
    <xf numFmtId="0" fontId="49" fillId="7" borderId="53" xfId="0" applyFont="1" applyFill="1" applyBorder="1" applyAlignment="1">
      <alignment horizontal="center"/>
    </xf>
    <xf numFmtId="0" fontId="50" fillId="0" borderId="49" xfId="0" applyFont="1" applyBorder="1" applyAlignment="1">
      <alignment horizontal="center"/>
    </xf>
    <xf numFmtId="0" fontId="0" fillId="0" borderId="54" xfId="0" applyBorder="1"/>
    <xf numFmtId="164" fontId="34" fillId="0" borderId="55" xfId="0" applyNumberFormat="1" applyFont="1" applyBorder="1" applyAlignment="1">
      <alignment horizontal="center" wrapText="1"/>
    </xf>
    <xf numFmtId="164" fontId="34" fillId="0" borderId="56" xfId="0" applyNumberFormat="1" applyFont="1" applyBorder="1" applyAlignment="1">
      <alignment horizontal="center" wrapText="1"/>
    </xf>
    <xf numFmtId="0" fontId="0" fillId="0" borderId="57" xfId="0" applyBorder="1"/>
    <xf numFmtId="0" fontId="27" fillId="0" borderId="58" xfId="0" applyFont="1" applyBorder="1"/>
    <xf numFmtId="164" fontId="52" fillId="7" borderId="59" xfId="0" applyNumberFormat="1" applyFont="1" applyFill="1" applyBorder="1" applyAlignment="1">
      <alignment horizontal="center" wrapText="1"/>
    </xf>
    <xf numFmtId="164" fontId="52" fillId="0" borderId="60" xfId="0" applyNumberFormat="1" applyFont="1" applyBorder="1" applyAlignment="1">
      <alignment horizontal="center" wrapText="1"/>
    </xf>
    <xf numFmtId="0" fontId="0" fillId="0" borderId="55" xfId="0" applyBorder="1"/>
    <xf numFmtId="164" fontId="34" fillId="7" borderId="61" xfId="0" applyNumberFormat="1" applyFont="1" applyFill="1" applyBorder="1" applyAlignment="1">
      <alignment horizontal="center" wrapText="1"/>
    </xf>
    <xf numFmtId="0" fontId="0" fillId="0" borderId="56" xfId="0" applyBorder="1"/>
    <xf numFmtId="164" fontId="34" fillId="7" borderId="62" xfId="0" applyNumberFormat="1" applyFont="1" applyFill="1" applyBorder="1" applyAlignment="1">
      <alignment horizontal="center" wrapText="1"/>
    </xf>
    <xf numFmtId="0" fontId="0" fillId="0" borderId="63" xfId="0" applyBorder="1"/>
    <xf numFmtId="0" fontId="0" fillId="0" borderId="64" xfId="0" applyBorder="1"/>
    <xf numFmtId="164" fontId="34" fillId="7" borderId="65" xfId="0" applyNumberFormat="1" applyFont="1" applyFill="1" applyBorder="1" applyAlignment="1">
      <alignment horizontal="center" wrapText="1"/>
    </xf>
    <xf numFmtId="0" fontId="27" fillId="0" borderId="60" xfId="0" applyFont="1" applyBorder="1"/>
    <xf numFmtId="164" fontId="34" fillId="7" borderId="66" xfId="0" applyNumberFormat="1" applyFont="1" applyFill="1" applyBorder="1" applyAlignment="1">
      <alignment horizontal="center" wrapText="1"/>
    </xf>
    <xf numFmtId="0" fontId="27" fillId="7" borderId="67" xfId="0" applyFont="1" applyFill="1" applyBorder="1"/>
    <xf numFmtId="164" fontId="52" fillId="0" borderId="49" xfId="0" applyNumberFormat="1" applyFont="1" applyBorder="1" applyAlignment="1">
      <alignment horizontal="center" wrapText="1"/>
    </xf>
    <xf numFmtId="0" fontId="53" fillId="0" borderId="0" xfId="0" applyFont="1" applyAlignment="1">
      <alignment horizontal="right"/>
    </xf>
    <xf numFmtId="164" fontId="53" fillId="0" borderId="0" xfId="0" applyNumberFormat="1" applyFont="1"/>
    <xf numFmtId="0" fontId="27" fillId="4" borderId="12" xfId="0" applyFont="1" applyFill="1" applyBorder="1" applyAlignment="1">
      <alignment wrapText="1"/>
    </xf>
    <xf numFmtId="164" fontId="52" fillId="7" borderId="12" xfId="0" applyNumberFormat="1" applyFont="1" applyFill="1" applyBorder="1" applyAlignment="1">
      <alignment vertical="center"/>
    </xf>
    <xf numFmtId="164" fontId="52" fillId="4" borderId="12" xfId="0" applyNumberFormat="1" applyFont="1" applyFill="1" applyBorder="1" applyAlignment="1">
      <alignment vertical="center"/>
    </xf>
    <xf numFmtId="168" fontId="27" fillId="4" borderId="12" xfId="0" applyNumberFormat="1" applyFont="1" applyFill="1" applyBorder="1" applyAlignment="1">
      <alignment vertical="top" wrapText="1"/>
    </xf>
    <xf numFmtId="0" fontId="34" fillId="0" borderId="0" xfId="0" applyFont="1" applyAlignment="1">
      <alignment horizontal="left"/>
    </xf>
    <xf numFmtId="0" fontId="32" fillId="10" borderId="1" xfId="0" applyFont="1" applyFill="1" applyBorder="1" applyAlignment="1">
      <alignment vertical="center"/>
    </xf>
    <xf numFmtId="0" fontId="37" fillId="0" borderId="0" xfId="0" applyFont="1" applyAlignment="1">
      <alignment vertical="center"/>
    </xf>
    <xf numFmtId="0" fontId="27" fillId="0" borderId="0" xfId="0" applyFont="1" applyAlignment="1">
      <alignment horizontal="center" vertical="center"/>
    </xf>
    <xf numFmtId="0" fontId="34" fillId="0" borderId="0" xfId="0" applyFont="1"/>
    <xf numFmtId="14" fontId="27" fillId="3" borderId="1" xfId="0" applyNumberFormat="1" applyFont="1" applyFill="1" applyBorder="1" applyAlignment="1">
      <alignment horizontal="center" vertical="center"/>
    </xf>
    <xf numFmtId="0" fontId="36" fillId="8" borderId="1" xfId="0" applyFont="1" applyFill="1" applyBorder="1"/>
    <xf numFmtId="0" fontId="37" fillId="8" borderId="1" xfId="0" applyFont="1" applyFill="1" applyBorder="1"/>
    <xf numFmtId="0" fontId="54" fillId="0" borderId="0" xfId="0" applyFont="1" applyAlignment="1">
      <alignment vertical="center" wrapText="1"/>
    </xf>
    <xf numFmtId="0" fontId="27" fillId="0" borderId="71" xfId="0" applyFont="1" applyBorder="1" applyAlignment="1">
      <alignment horizontal="center" vertical="center" wrapText="1"/>
    </xf>
    <xf numFmtId="0" fontId="27" fillId="0" borderId="72" xfId="0" applyFont="1" applyBorder="1" applyAlignment="1">
      <alignment horizontal="center" vertical="center" wrapText="1"/>
    </xf>
    <xf numFmtId="14" fontId="56" fillId="7" borderId="76" xfId="0" applyNumberFormat="1" applyFont="1" applyFill="1" applyBorder="1" applyAlignment="1">
      <alignment horizontal="center" vertical="center" wrapText="1"/>
    </xf>
    <xf numFmtId="0" fontId="27" fillId="0" borderId="77" xfId="0" applyFont="1" applyBorder="1" applyAlignment="1">
      <alignment horizontal="center" vertical="center" wrapText="1"/>
    </xf>
    <xf numFmtId="0" fontId="27" fillId="0" borderId="26" xfId="0" applyFont="1" applyBorder="1" applyAlignment="1">
      <alignment horizontal="center" vertical="center" wrapText="1"/>
    </xf>
    <xf numFmtId="0" fontId="27" fillId="0" borderId="0" xfId="0" applyFont="1" applyAlignment="1">
      <alignment horizontal="center" vertical="center" wrapText="1"/>
    </xf>
    <xf numFmtId="0" fontId="0" fillId="0" borderId="27" xfId="0" applyBorder="1" applyAlignment="1">
      <alignment horizontal="center" vertical="center" wrapText="1"/>
    </xf>
    <xf numFmtId="0" fontId="0" fillId="0" borderId="78" xfId="0" applyBorder="1" applyAlignment="1">
      <alignment horizontal="center" vertical="center" wrapText="1"/>
    </xf>
    <xf numFmtId="165" fontId="30" fillId="7" borderId="12" xfId="0" applyNumberFormat="1" applyFont="1" applyFill="1" applyBorder="1" applyAlignment="1">
      <alignment horizontal="left" vertical="center"/>
    </xf>
    <xf numFmtId="0" fontId="0" fillId="7" borderId="79" xfId="0" applyFill="1" applyBorder="1" applyAlignment="1">
      <alignment vertical="center" wrapText="1"/>
    </xf>
    <xf numFmtId="165" fontId="37" fillId="10" borderId="12" xfId="0" applyNumberFormat="1" applyFont="1" applyFill="1" applyBorder="1" applyAlignment="1">
      <alignment horizontal="left" vertical="center"/>
    </xf>
    <xf numFmtId="0" fontId="27" fillId="10" borderId="79" xfId="0" applyFont="1" applyFill="1" applyBorder="1" applyAlignment="1">
      <alignment vertical="center" wrapText="1"/>
    </xf>
    <xf numFmtId="0" fontId="0" fillId="0" borderId="26" xfId="0" applyBorder="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horizontal="left" vertical="center"/>
    </xf>
    <xf numFmtId="0" fontId="27" fillId="0" borderId="27" xfId="0" applyFont="1" applyBorder="1" applyAlignment="1">
      <alignment horizontal="left" vertical="center" wrapText="1"/>
    </xf>
    <xf numFmtId="0" fontId="0" fillId="0" borderId="27" xfId="0" applyBorder="1" applyAlignment="1">
      <alignment horizontal="left" vertical="center" wrapText="1"/>
    </xf>
    <xf numFmtId="0" fontId="0" fillId="10" borderId="79" xfId="0" applyFill="1" applyBorder="1" applyAlignment="1">
      <alignment vertical="center" wrapText="1"/>
    </xf>
    <xf numFmtId="0" fontId="0" fillId="0" borderId="0" xfId="0" applyAlignment="1">
      <alignment horizontal="left" vertical="center" wrapText="1"/>
    </xf>
    <xf numFmtId="0" fontId="0" fillId="0" borderId="26" xfId="0" applyBorder="1" applyAlignment="1">
      <alignment vertical="center" wrapText="1"/>
    </xf>
    <xf numFmtId="0" fontId="0" fillId="0" borderId="27" xfId="0" applyBorder="1" applyAlignment="1">
      <alignment vertical="center" wrapText="1"/>
    </xf>
    <xf numFmtId="165" fontId="27" fillId="10" borderId="79" xfId="0" applyNumberFormat="1" applyFont="1" applyFill="1" applyBorder="1" applyAlignment="1">
      <alignment horizontal="left" vertical="center" wrapText="1"/>
    </xf>
    <xf numFmtId="165" fontId="30" fillId="10" borderId="12" xfId="0" applyNumberFormat="1" applyFont="1" applyFill="1" applyBorder="1" applyAlignment="1">
      <alignment horizontal="left" vertical="center"/>
    </xf>
    <xf numFmtId="0" fontId="0" fillId="0" borderId="80" xfId="0" applyBorder="1" applyAlignment="1">
      <alignment horizontal="center" vertical="center" wrapText="1"/>
    </xf>
    <xf numFmtId="165" fontId="30" fillId="0" borderId="76" xfId="0" applyNumberFormat="1" applyFont="1" applyBorder="1" applyAlignment="1">
      <alignment horizontal="left" vertical="center"/>
    </xf>
    <xf numFmtId="0" fontId="0" fillId="0" borderId="84" xfId="0" applyBorder="1" applyAlignment="1">
      <alignment vertical="center" wrapText="1"/>
    </xf>
    <xf numFmtId="0" fontId="27" fillId="0" borderId="0" xfId="0" applyFont="1" applyAlignment="1">
      <alignment vertical="center" wrapText="1"/>
    </xf>
    <xf numFmtId="165" fontId="0" fillId="0" borderId="0" xfId="0" applyNumberFormat="1" applyAlignment="1">
      <alignment horizontal="left" vertical="center" wrapText="1"/>
    </xf>
    <xf numFmtId="0" fontId="0" fillId="0" borderId="0" xfId="0" applyAlignment="1">
      <alignment vertical="center" wrapText="1"/>
    </xf>
    <xf numFmtId="0" fontId="36" fillId="8" borderId="1" xfId="0" applyFont="1" applyFill="1" applyBorder="1" applyAlignment="1">
      <alignment vertical="center" wrapText="1"/>
    </xf>
    <xf numFmtId="0" fontId="0" fillId="8" borderId="1" xfId="0" applyFill="1" applyBorder="1" applyAlignment="1">
      <alignment vertical="center" wrapText="1"/>
    </xf>
    <xf numFmtId="0" fontId="27" fillId="0" borderId="0" xfId="0" applyFont="1" applyAlignment="1">
      <alignment horizontal="center" wrapText="1"/>
    </xf>
    <xf numFmtId="0" fontId="30" fillId="0" borderId="12" xfId="0" applyFont="1" applyBorder="1" applyAlignment="1">
      <alignment vertical="center" wrapText="1"/>
    </xf>
    <xf numFmtId="0" fontId="37" fillId="0" borderId="12" xfId="0" applyFont="1" applyBorder="1" applyAlignment="1">
      <alignment horizontal="center" vertical="center" wrapText="1"/>
    </xf>
    <xf numFmtId="0" fontId="0" fillId="0" borderId="12" xfId="0" applyBorder="1" applyAlignment="1">
      <alignment horizontal="center"/>
    </xf>
    <xf numFmtId="164" fontId="34" fillId="7" borderId="12" xfId="0" applyNumberFormat="1" applyFont="1" applyFill="1" applyBorder="1"/>
    <xf numFmtId="0" fontId="0" fillId="7" borderId="12" xfId="0" applyFill="1" applyBorder="1" applyAlignment="1">
      <alignment wrapText="1"/>
    </xf>
    <xf numFmtId="0" fontId="48" fillId="0" borderId="47" xfId="0" applyFont="1" applyBorder="1" applyAlignment="1">
      <alignment horizontal="right" vertical="center"/>
    </xf>
    <xf numFmtId="164" fontId="37" fillId="0" borderId="47" xfId="0" applyNumberFormat="1" applyFont="1" applyBorder="1"/>
    <xf numFmtId="0" fontId="30" fillId="0" borderId="12" xfId="0" applyFont="1" applyBorder="1" applyAlignment="1">
      <alignment horizontal="center"/>
    </xf>
    <xf numFmtId="164" fontId="34" fillId="0" borderId="12" xfId="0" applyNumberFormat="1" applyFont="1" applyBorder="1"/>
    <xf numFmtId="0" fontId="57" fillId="0" borderId="47" xfId="0" applyFont="1" applyBorder="1" applyAlignment="1">
      <alignment horizontal="center" vertical="center" wrapText="1"/>
    </xf>
    <xf numFmtId="0" fontId="58" fillId="0" borderId="0" xfId="0" applyFont="1" applyAlignment="1">
      <alignment vertical="center"/>
    </xf>
    <xf numFmtId="0" fontId="45" fillId="0" borderId="0" xfId="0" applyFont="1" applyAlignment="1">
      <alignment vertical="center"/>
    </xf>
    <xf numFmtId="0" fontId="0" fillId="0" borderId="0" xfId="0" applyAlignment="1">
      <alignment horizontal="center" vertical="center"/>
    </xf>
    <xf numFmtId="0" fontId="59" fillId="0" borderId="0" xfId="0" applyFont="1" applyAlignment="1">
      <alignment horizontal="center" vertical="center"/>
    </xf>
    <xf numFmtId="0" fontId="30" fillId="10" borderId="1" xfId="0" applyFont="1" applyFill="1" applyBorder="1" applyAlignment="1">
      <alignment vertical="center"/>
    </xf>
    <xf numFmtId="0" fontId="27" fillId="0" borderId="0" xfId="0" applyFont="1" applyAlignment="1">
      <alignment horizontal="right" vertical="center"/>
    </xf>
    <xf numFmtId="14" fontId="0" fillId="10" borderId="1" xfId="0" applyNumberFormat="1" applyFill="1" applyBorder="1" applyAlignment="1">
      <alignment vertical="center"/>
    </xf>
    <xf numFmtId="0" fontId="36" fillId="8" borderId="23" xfId="0" applyFont="1" applyFill="1" applyBorder="1" applyAlignment="1">
      <alignment vertical="center"/>
    </xf>
    <xf numFmtId="0" fontId="0" fillId="8" borderId="25" xfId="0" applyFill="1" applyBorder="1" applyAlignment="1">
      <alignment vertical="center"/>
    </xf>
    <xf numFmtId="0" fontId="60" fillId="0" borderId="0" xfId="0" applyFont="1" applyAlignment="1">
      <alignment horizontal="center" vertical="center"/>
    </xf>
    <xf numFmtId="0" fontId="30" fillId="0" borderId="26" xfId="0" applyFont="1" applyBorder="1" applyAlignment="1">
      <alignment vertical="center"/>
    </xf>
    <xf numFmtId="0" fontId="56" fillId="10" borderId="12" xfId="0" applyFont="1" applyFill="1" applyBorder="1" applyAlignment="1">
      <alignment horizontal="center" vertical="center" wrapText="1"/>
    </xf>
    <xf numFmtId="0" fontId="56" fillId="10" borderId="79" xfId="0" applyFont="1" applyFill="1" applyBorder="1" applyAlignment="1">
      <alignment horizontal="center" vertical="center" wrapText="1"/>
    </xf>
    <xf numFmtId="164" fontId="33" fillId="7" borderId="12" xfId="0" applyNumberFormat="1" applyFont="1" applyFill="1" applyBorder="1" applyAlignment="1">
      <alignment vertical="center"/>
    </xf>
    <xf numFmtId="164" fontId="33" fillId="0" borderId="12" xfId="0" applyNumberFormat="1" applyFont="1" applyBorder="1" applyAlignment="1">
      <alignment vertical="center"/>
    </xf>
    <xf numFmtId="164" fontId="37" fillId="0" borderId="12" xfId="0" applyNumberFormat="1" applyFont="1" applyBorder="1" applyAlignment="1">
      <alignment vertical="center" wrapText="1"/>
    </xf>
    <xf numFmtId="0" fontId="0" fillId="0" borderId="79" xfId="0" applyBorder="1" applyAlignment="1">
      <alignment vertical="center"/>
    </xf>
    <xf numFmtId="165" fontId="33" fillId="7" borderId="12" xfId="0" applyNumberFormat="1" applyFont="1" applyFill="1" applyBorder="1" applyAlignment="1">
      <alignment vertical="center"/>
    </xf>
    <xf numFmtId="164" fontId="33" fillId="0" borderId="12" xfId="0" applyNumberFormat="1" applyFont="1" applyBorder="1" applyAlignment="1">
      <alignment horizontal="right" vertical="center"/>
    </xf>
    <xf numFmtId="0" fontId="52" fillId="0" borderId="0" xfId="0" applyFont="1" applyAlignment="1">
      <alignment vertical="center"/>
    </xf>
    <xf numFmtId="165" fontId="61" fillId="0" borderId="0" xfId="0" applyNumberFormat="1" applyFont="1" applyAlignment="1">
      <alignment vertical="center"/>
    </xf>
    <xf numFmtId="169" fontId="61" fillId="0" borderId="0" xfId="0" applyNumberFormat="1" applyFont="1" applyAlignment="1">
      <alignment vertical="center"/>
    </xf>
    <xf numFmtId="0" fontId="0" fillId="0" borderId="29" xfId="0" applyBorder="1" applyAlignment="1">
      <alignment vertical="center"/>
    </xf>
    <xf numFmtId="0" fontId="0" fillId="0" borderId="82" xfId="0" applyBorder="1" applyAlignment="1">
      <alignment vertical="center"/>
    </xf>
    <xf numFmtId="164" fontId="62" fillId="0" borderId="82" xfId="0" applyNumberFormat="1" applyFont="1" applyBorder="1" applyAlignment="1">
      <alignment vertical="center"/>
    </xf>
    <xf numFmtId="0" fontId="0" fillId="0" borderId="88" xfId="0" applyBorder="1" applyAlignment="1">
      <alignment vertical="center"/>
    </xf>
    <xf numFmtId="14" fontId="34" fillId="10" borderId="1" xfId="0" applyNumberFormat="1" applyFont="1" applyFill="1" applyBorder="1" applyAlignment="1">
      <alignment vertical="center"/>
    </xf>
    <xf numFmtId="0" fontId="36" fillId="8" borderId="23" xfId="0" applyFont="1" applyFill="1" applyBorder="1" applyAlignment="1">
      <alignment horizontal="right"/>
    </xf>
    <xf numFmtId="0" fontId="36" fillId="8" borderId="24" xfId="0" applyFont="1" applyFill="1" applyBorder="1" applyAlignment="1">
      <alignment horizontal="right" vertical="center"/>
    </xf>
    <xf numFmtId="0" fontId="36" fillId="8" borderId="25" xfId="0" applyFont="1" applyFill="1" applyBorder="1"/>
    <xf numFmtId="0" fontId="48" fillId="0" borderId="71" xfId="0" applyFont="1" applyBorder="1" applyAlignment="1">
      <alignment horizontal="center" vertical="center"/>
    </xf>
    <xf numFmtId="14" fontId="48" fillId="10" borderId="12" xfId="0" applyNumberFormat="1" applyFont="1" applyFill="1" applyBorder="1" applyAlignment="1">
      <alignment horizontal="center" vertical="center" wrapText="1"/>
    </xf>
    <xf numFmtId="0" fontId="0" fillId="0" borderId="78" xfId="0" applyBorder="1" applyAlignment="1">
      <alignment horizontal="center" vertical="center"/>
    </xf>
    <xf numFmtId="164" fontId="20" fillId="0" borderId="12" xfId="0" applyNumberFormat="1" applyFont="1" applyBorder="1" applyAlignment="1">
      <alignment vertical="center"/>
    </xf>
    <xf numFmtId="165" fontId="42" fillId="7" borderId="79" xfId="0" applyNumberFormat="1" applyFont="1" applyFill="1" applyBorder="1" applyAlignment="1">
      <alignment vertical="center" wrapText="1"/>
    </xf>
    <xf numFmtId="164" fontId="21" fillId="10" borderId="12" xfId="0" applyNumberFormat="1" applyFont="1" applyFill="1" applyBorder="1" applyAlignment="1">
      <alignment vertical="center" wrapText="1"/>
    </xf>
    <xf numFmtId="165" fontId="42" fillId="10" borderId="79" xfId="0" applyNumberFormat="1" applyFont="1" applyFill="1" applyBorder="1" applyAlignment="1">
      <alignment vertical="center"/>
    </xf>
    <xf numFmtId="164" fontId="20" fillId="7" borderId="12" xfId="0" applyNumberFormat="1" applyFont="1" applyFill="1" applyBorder="1" applyAlignment="1">
      <alignment vertical="center" wrapText="1"/>
    </xf>
    <xf numFmtId="164" fontId="20" fillId="7" borderId="12" xfId="0" applyNumberFormat="1" applyFont="1" applyFill="1" applyBorder="1" applyAlignment="1">
      <alignment horizontal="left" vertical="center"/>
    </xf>
    <xf numFmtId="164" fontId="21" fillId="10" borderId="12" xfId="0" applyNumberFormat="1" applyFont="1" applyFill="1" applyBorder="1" applyAlignment="1">
      <alignment vertical="center"/>
    </xf>
    <xf numFmtId="164" fontId="21" fillId="0" borderId="12" xfId="0" applyNumberFormat="1" applyFont="1" applyBorder="1" applyAlignment="1">
      <alignment vertical="center"/>
    </xf>
    <xf numFmtId="164" fontId="21" fillId="7" borderId="12" xfId="0" applyNumberFormat="1" applyFont="1" applyFill="1" applyBorder="1" applyAlignment="1">
      <alignment vertical="center"/>
    </xf>
    <xf numFmtId="0" fontId="0" fillId="0" borderId="80" xfId="0" applyBorder="1" applyAlignment="1">
      <alignment horizontal="center" vertical="center"/>
    </xf>
    <xf numFmtId="164" fontId="21" fillId="10" borderId="76" xfId="0" applyNumberFormat="1" applyFont="1" applyFill="1" applyBorder="1" applyAlignment="1">
      <alignment vertical="center"/>
    </xf>
    <xf numFmtId="165" fontId="42" fillId="7" borderId="84" xfId="0" applyNumberFormat="1" applyFont="1" applyFill="1" applyBorder="1" applyAlignment="1">
      <alignment vertical="center" wrapText="1"/>
    </xf>
    <xf numFmtId="0" fontId="36" fillId="8" borderId="23" xfId="0" applyFont="1" applyFill="1" applyBorder="1" applyAlignment="1">
      <alignment horizontal="right" vertical="center"/>
    </xf>
    <xf numFmtId="0" fontId="36" fillId="0" borderId="26" xfId="0" applyFont="1" applyBorder="1" applyAlignment="1">
      <alignment horizontal="right"/>
    </xf>
    <xf numFmtId="0" fontId="36" fillId="0" borderId="0" xfId="0" applyFont="1"/>
    <xf numFmtId="0" fontId="36" fillId="0" borderId="0" xfId="0" applyFont="1" applyAlignment="1">
      <alignment horizontal="right" vertical="center"/>
    </xf>
    <xf numFmtId="0" fontId="36" fillId="0" borderId="27" xfId="0" applyFont="1" applyBorder="1"/>
    <xf numFmtId="0" fontId="27" fillId="8" borderId="98" xfId="0" applyFont="1" applyFill="1" applyBorder="1" applyAlignment="1">
      <alignment horizontal="center" vertical="center"/>
    </xf>
    <xf numFmtId="0" fontId="27" fillId="8" borderId="79" xfId="0" applyFont="1" applyFill="1" applyBorder="1" applyAlignment="1">
      <alignment horizontal="center" vertical="center"/>
    </xf>
    <xf numFmtId="0" fontId="27" fillId="0" borderId="99" xfId="0" applyFont="1" applyBorder="1" applyAlignment="1">
      <alignment horizontal="center" vertical="center" wrapText="1"/>
    </xf>
    <xf numFmtId="0" fontId="27" fillId="0" borderId="0" xfId="0" applyFont="1" applyAlignment="1">
      <alignment vertical="top"/>
    </xf>
    <xf numFmtId="164" fontId="0" fillId="0" borderId="48" xfId="0" applyNumberFormat="1" applyBorder="1" applyAlignment="1">
      <alignment horizontal="center"/>
    </xf>
    <xf numFmtId="0" fontId="27" fillId="0" borderId="0" xfId="0" applyFont="1" applyAlignment="1">
      <alignment vertical="center"/>
    </xf>
    <xf numFmtId="164" fontId="0" fillId="0" borderId="0" xfId="0" applyNumberFormat="1" applyAlignment="1">
      <alignment vertical="top"/>
    </xf>
    <xf numFmtId="0" fontId="27" fillId="0" borderId="85" xfId="0" applyFont="1" applyBorder="1" applyAlignment="1">
      <alignment horizontal="center" vertical="center"/>
    </xf>
    <xf numFmtId="0" fontId="27" fillId="0" borderId="28" xfId="0" applyFont="1" applyBorder="1" applyAlignment="1">
      <alignment vertical="center"/>
    </xf>
    <xf numFmtId="164" fontId="0" fillId="0" borderId="46" xfId="0" applyNumberFormat="1" applyBorder="1" applyAlignment="1">
      <alignment horizontal="center"/>
    </xf>
    <xf numFmtId="0" fontId="27" fillId="0" borderId="86" xfId="0" applyFont="1" applyBorder="1" applyAlignment="1">
      <alignment horizontal="center" vertical="center"/>
    </xf>
    <xf numFmtId="0" fontId="27" fillId="0" borderId="92" xfId="0" applyFont="1" applyBorder="1" applyAlignment="1">
      <alignment horizontal="center" vertical="center"/>
    </xf>
    <xf numFmtId="0" fontId="27" fillId="0" borderId="48" xfId="0" applyFont="1" applyBorder="1" applyAlignment="1">
      <alignment vertical="center"/>
    </xf>
    <xf numFmtId="164" fontId="0" fillId="0" borderId="46" xfId="0" applyNumberFormat="1" applyBorder="1" applyAlignment="1">
      <alignment horizontal="center" vertical="top"/>
    </xf>
    <xf numFmtId="0" fontId="27" fillId="0" borderId="93" xfId="0" applyFont="1" applyBorder="1" applyAlignment="1">
      <alignment horizontal="center" vertical="center"/>
    </xf>
    <xf numFmtId="164" fontId="0" fillId="0" borderId="48" xfId="0" applyNumberFormat="1" applyBorder="1" applyAlignment="1">
      <alignment horizontal="center" vertical="top"/>
    </xf>
    <xf numFmtId="0" fontId="32" fillId="10" borderId="1" xfId="0" applyFont="1" applyFill="1" applyBorder="1" applyAlignment="1">
      <alignment horizontal="left"/>
    </xf>
    <xf numFmtId="0" fontId="0" fillId="0" borderId="0" xfId="0" applyAlignment="1">
      <alignment horizontal="left" vertical="top"/>
    </xf>
    <xf numFmtId="0" fontId="0" fillId="0" borderId="0" xfId="0" applyAlignment="1">
      <alignment horizontal="center" wrapText="1"/>
    </xf>
    <xf numFmtId="0" fontId="36" fillId="0" borderId="0" xfId="0" applyFont="1" applyAlignment="1">
      <alignment vertical="center"/>
    </xf>
    <xf numFmtId="0" fontId="48" fillId="0" borderId="0" xfId="0" applyFont="1" applyAlignment="1">
      <alignment vertical="center"/>
    </xf>
    <xf numFmtId="0" fontId="27" fillId="11" borderId="12" xfId="0" applyFont="1" applyFill="1" applyBorder="1" applyAlignment="1">
      <alignment horizontal="center" vertical="center" wrapText="1"/>
    </xf>
    <xf numFmtId="0" fontId="56" fillId="11" borderId="12" xfId="0" applyFont="1" applyFill="1" applyBorder="1" applyAlignment="1">
      <alignment horizontal="center" vertical="center" wrapText="1"/>
    </xf>
    <xf numFmtId="0" fontId="36" fillId="0" borderId="12" xfId="0" applyFont="1" applyBorder="1" applyAlignment="1">
      <alignment horizontal="center" vertical="center" wrapText="1"/>
    </xf>
    <xf numFmtId="0" fontId="32" fillId="10" borderId="1" xfId="0" applyFont="1" applyFill="1" applyBorder="1"/>
    <xf numFmtId="0" fontId="0" fillId="0" borderId="0" xfId="0" applyAlignment="1">
      <alignment horizontal="left"/>
    </xf>
    <xf numFmtId="14" fontId="32" fillId="10" borderId="1" xfId="0" applyNumberFormat="1" applyFont="1" applyFill="1" applyBorder="1" applyAlignment="1">
      <alignment horizontal="left" vertical="center"/>
    </xf>
    <xf numFmtId="0" fontId="68" fillId="12" borderId="108" xfId="0" applyFont="1" applyFill="1" applyBorder="1" applyAlignment="1">
      <alignment horizontal="center" vertical="center" wrapText="1" readingOrder="1"/>
    </xf>
    <xf numFmtId="0" fontId="68" fillId="13" borderId="1" xfId="0" applyFont="1" applyFill="1" applyBorder="1" applyAlignment="1">
      <alignment horizontal="center" vertical="center" wrapText="1" readingOrder="1"/>
    </xf>
    <xf numFmtId="0" fontId="68" fillId="12" borderId="109" xfId="0" applyFont="1" applyFill="1" applyBorder="1" applyAlignment="1">
      <alignment horizontal="center" vertical="center" wrapText="1" readingOrder="1"/>
    </xf>
    <xf numFmtId="0" fontId="68" fillId="12" borderId="79" xfId="0" applyFont="1" applyFill="1" applyBorder="1" applyAlignment="1">
      <alignment horizontal="center" vertical="center" wrapText="1" readingOrder="1"/>
    </xf>
    <xf numFmtId="9" fontId="69" fillId="0" borderId="12" xfId="0" applyNumberFormat="1" applyFont="1" applyBorder="1" applyAlignment="1">
      <alignment horizontal="center" vertical="center" wrapText="1" readingOrder="1"/>
    </xf>
    <xf numFmtId="9" fontId="70" fillId="13" borderId="12" xfId="0" applyNumberFormat="1" applyFont="1" applyFill="1" applyBorder="1" applyAlignment="1">
      <alignment horizontal="center" vertical="center" wrapText="1" readingOrder="1"/>
    </xf>
    <xf numFmtId="9" fontId="71" fillId="0" borderId="12" xfId="0" applyNumberFormat="1" applyFont="1" applyBorder="1" applyAlignment="1">
      <alignment horizontal="center" vertical="center" wrapText="1" readingOrder="1"/>
    </xf>
    <xf numFmtId="0" fontId="72" fillId="0" borderId="12" xfId="0" applyFont="1" applyBorder="1" applyAlignment="1">
      <alignment horizontal="center" vertical="center" wrapText="1" readingOrder="1"/>
    </xf>
    <xf numFmtId="0" fontId="71" fillId="0" borderId="79" xfId="0" applyFont="1" applyBorder="1" applyAlignment="1">
      <alignment horizontal="center" vertical="center" wrapText="1" readingOrder="1"/>
    </xf>
    <xf numFmtId="9" fontId="41" fillId="0" borderId="12" xfId="0" applyNumberFormat="1" applyFont="1" applyBorder="1" applyAlignment="1">
      <alignment horizontal="center" vertical="center" wrapText="1" readingOrder="1"/>
    </xf>
    <xf numFmtId="9" fontId="73" fillId="13" borderId="12" xfId="0" applyNumberFormat="1" applyFont="1" applyFill="1" applyBorder="1" applyAlignment="1">
      <alignment horizontal="center" vertical="center" wrapText="1" readingOrder="1"/>
    </xf>
    <xf numFmtId="9" fontId="72" fillId="0" borderId="12" xfId="0" applyNumberFormat="1" applyFont="1" applyBorder="1" applyAlignment="1">
      <alignment horizontal="center" vertical="center" wrapText="1" readingOrder="1"/>
    </xf>
    <xf numFmtId="0" fontId="72" fillId="0" borderId="79" xfId="0" applyFont="1" applyBorder="1" applyAlignment="1">
      <alignment horizontal="center" vertical="center" wrapText="1" readingOrder="1"/>
    </xf>
    <xf numFmtId="0" fontId="37" fillId="10" borderId="79" xfId="0" applyFont="1" applyFill="1" applyBorder="1" applyAlignment="1">
      <alignment horizontal="center" vertical="center" wrapText="1" readingOrder="1"/>
    </xf>
    <xf numFmtId="0" fontId="74" fillId="0" borderId="0" xfId="0" applyFont="1"/>
    <xf numFmtId="0" fontId="40" fillId="0" borderId="0" xfId="0" applyFont="1"/>
    <xf numFmtId="0" fontId="32" fillId="10" borderId="1" xfId="0" applyFont="1" applyFill="1" applyBorder="1" applyAlignment="1">
      <alignment horizontal="left" vertical="center"/>
    </xf>
    <xf numFmtId="14" fontId="33" fillId="10" borderId="1" xfId="0" applyNumberFormat="1" applyFont="1" applyFill="1" applyBorder="1" applyAlignment="1">
      <alignment horizontal="left" vertical="center"/>
    </xf>
    <xf numFmtId="0" fontId="27" fillId="8" borderId="24" xfId="0" applyFont="1" applyFill="1" applyBorder="1"/>
    <xf numFmtId="0" fontId="27" fillId="8" borderId="25" xfId="0" applyFont="1" applyFill="1" applyBorder="1"/>
    <xf numFmtId="0" fontId="52" fillId="14" borderId="108" xfId="0" applyFont="1" applyFill="1" applyBorder="1"/>
    <xf numFmtId="0" fontId="52" fillId="14" borderId="110" xfId="0" applyFont="1" applyFill="1" applyBorder="1"/>
    <xf numFmtId="0" fontId="52" fillId="14" borderId="62" xfId="0" applyFont="1" applyFill="1" applyBorder="1"/>
    <xf numFmtId="0" fontId="0" fillId="0" borderId="99" xfId="0" applyBorder="1"/>
    <xf numFmtId="0" fontId="34" fillId="0" borderId="99" xfId="0" applyFont="1" applyBorder="1"/>
    <xf numFmtId="164" fontId="33" fillId="15" borderId="12" xfId="0" applyNumberFormat="1" applyFont="1" applyFill="1" applyBorder="1"/>
    <xf numFmtId="0" fontId="34" fillId="0" borderId="27" xfId="0" applyFont="1" applyBorder="1"/>
    <xf numFmtId="164" fontId="20" fillId="0" borderId="0" xfId="0" applyNumberFormat="1" applyFont="1"/>
    <xf numFmtId="164" fontId="33" fillId="0" borderId="0" xfId="0" applyNumberFormat="1" applyFont="1"/>
    <xf numFmtId="10" fontId="33" fillId="7" borderId="1" xfId="0" applyNumberFormat="1" applyFont="1" applyFill="1" applyBorder="1" applyAlignment="1">
      <alignment horizontal="right"/>
    </xf>
    <xf numFmtId="164" fontId="33" fillId="7" borderId="1" xfId="0" applyNumberFormat="1" applyFont="1" applyFill="1" applyBorder="1"/>
    <xf numFmtId="164" fontId="20" fillId="10" borderId="1" xfId="0" applyNumberFormat="1" applyFont="1" applyFill="1" applyBorder="1" applyAlignment="1">
      <alignment horizontal="center"/>
    </xf>
    <xf numFmtId="164" fontId="21" fillId="15" borderId="12" xfId="0" applyNumberFormat="1" applyFont="1" applyFill="1" applyBorder="1"/>
    <xf numFmtId="0" fontId="52" fillId="0" borderId="48" xfId="0" applyFont="1" applyBorder="1"/>
    <xf numFmtId="0" fontId="75" fillId="0" borderId="0" xfId="0" applyFont="1" applyAlignment="1">
      <alignment horizontal="right" vertical="center" wrapText="1"/>
    </xf>
    <xf numFmtId="164" fontId="76" fillId="0" borderId="48" xfId="0" applyNumberFormat="1" applyFont="1" applyBorder="1"/>
    <xf numFmtId="164" fontId="52" fillId="0" borderId="0" xfId="0" applyNumberFormat="1" applyFont="1" applyAlignment="1">
      <alignment vertical="top"/>
    </xf>
    <xf numFmtId="10" fontId="75" fillId="0" borderId="0" xfId="0" applyNumberFormat="1" applyFont="1" applyAlignment="1">
      <alignment horizontal="left" vertical="center" wrapText="1"/>
    </xf>
    <xf numFmtId="0" fontId="0" fillId="0" borderId="48" xfId="0" applyBorder="1"/>
    <xf numFmtId="0" fontId="0" fillId="0" borderId="92" xfId="0" applyBorder="1"/>
    <xf numFmtId="0" fontId="0" fillId="0" borderId="101" xfId="0" applyBorder="1"/>
    <xf numFmtId="0" fontId="34" fillId="0" borderId="0" xfId="0" applyFont="1" applyAlignment="1">
      <alignment vertical="center"/>
    </xf>
    <xf numFmtId="0" fontId="27" fillId="0" borderId="0" xfId="0" applyFont="1" applyAlignment="1">
      <alignment horizontal="left" vertical="center"/>
    </xf>
    <xf numFmtId="0" fontId="34" fillId="0" borderId="26" xfId="0" applyFont="1" applyBorder="1" applyAlignment="1">
      <alignment vertical="center"/>
    </xf>
    <xf numFmtId="0" fontId="52" fillId="0" borderId="0" xfId="0" applyFont="1"/>
    <xf numFmtId="0" fontId="0" fillId="3" borderId="1" xfId="0" applyFill="1" applyBorder="1" applyAlignment="1">
      <alignment vertical="top"/>
    </xf>
    <xf numFmtId="0" fontId="63" fillId="0" borderId="0" xfId="0" applyFont="1"/>
    <xf numFmtId="14" fontId="32" fillId="10" borderId="1" xfId="0" applyNumberFormat="1" applyFont="1" applyFill="1" applyBorder="1"/>
    <xf numFmtId="0" fontId="71" fillId="8" borderId="1" xfId="0" applyFont="1" applyFill="1" applyBorder="1" applyAlignment="1">
      <alignment horizontal="right"/>
    </xf>
    <xf numFmtId="0" fontId="52" fillId="10" borderId="12" xfId="0" applyFont="1" applyFill="1" applyBorder="1" applyAlignment="1">
      <alignment horizontal="center" vertical="center"/>
    </xf>
    <xf numFmtId="0" fontId="63" fillId="7" borderId="12" xfId="0" applyFont="1" applyFill="1" applyBorder="1" applyAlignment="1">
      <alignment vertical="center"/>
    </xf>
    <xf numFmtId="164" fontId="20" fillId="7" borderId="12" xfId="0" applyNumberFormat="1" applyFont="1" applyFill="1" applyBorder="1" applyAlignment="1">
      <alignment vertical="center"/>
    </xf>
    <xf numFmtId="165" fontId="20" fillId="0" borderId="12" xfId="0" applyNumberFormat="1" applyFont="1" applyBorder="1" applyAlignment="1">
      <alignment vertical="center" wrapText="1"/>
    </xf>
    <xf numFmtId="165" fontId="42" fillId="7" borderId="12" xfId="0" applyNumberFormat="1" applyFont="1" applyFill="1" applyBorder="1" applyAlignment="1">
      <alignment vertical="center" wrapText="1"/>
    </xf>
    <xf numFmtId="0" fontId="0" fillId="7" borderId="12" xfId="0" applyFill="1" applyBorder="1" applyAlignment="1">
      <alignment vertical="center" wrapText="1"/>
    </xf>
    <xf numFmtId="0" fontId="63" fillId="7" borderId="12" xfId="0" applyFont="1" applyFill="1" applyBorder="1" applyAlignment="1">
      <alignment vertical="center" wrapText="1"/>
    </xf>
    <xf numFmtId="0" fontId="63" fillId="10" borderId="12" xfId="0" applyFont="1" applyFill="1" applyBorder="1" applyAlignment="1">
      <alignment vertical="center" wrapText="1"/>
    </xf>
    <xf numFmtId="165" fontId="27" fillId="10" borderId="12" xfId="0" applyNumberFormat="1" applyFont="1" applyFill="1" applyBorder="1" applyAlignment="1">
      <alignment vertical="center" wrapText="1"/>
    </xf>
    <xf numFmtId="165" fontId="37" fillId="10" borderId="12" xfId="0" applyNumberFormat="1" applyFont="1" applyFill="1" applyBorder="1" applyAlignment="1">
      <alignment vertical="center" wrapText="1"/>
    </xf>
    <xf numFmtId="0" fontId="27" fillId="10" borderId="12" xfId="0" applyFont="1" applyFill="1" applyBorder="1" applyAlignment="1">
      <alignment vertical="center"/>
    </xf>
    <xf numFmtId="0" fontId="0" fillId="7" borderId="12" xfId="0" applyFill="1" applyBorder="1" applyAlignment="1">
      <alignment vertical="center"/>
    </xf>
    <xf numFmtId="0" fontId="0" fillId="0" borderId="12" xfId="0" applyBorder="1" applyAlignment="1">
      <alignment vertical="center"/>
    </xf>
    <xf numFmtId="165" fontId="72" fillId="4" borderId="53" xfId="0" applyNumberFormat="1" applyFont="1" applyFill="1" applyBorder="1" applyAlignment="1">
      <alignment vertical="center" wrapText="1"/>
    </xf>
    <xf numFmtId="0" fontId="72" fillId="4" borderId="117" xfId="0" applyFont="1" applyFill="1" applyBorder="1" applyAlignment="1">
      <alignment horizontal="center" vertical="center"/>
    </xf>
    <xf numFmtId="14" fontId="30" fillId="10" borderId="1" xfId="0" applyNumberFormat="1" applyFont="1" applyFill="1" applyBorder="1" applyAlignment="1">
      <alignment vertical="center"/>
    </xf>
    <xf numFmtId="0" fontId="30" fillId="10" borderId="1" xfId="0" applyFont="1" applyFill="1" applyBorder="1" applyAlignment="1">
      <alignment vertical="center" wrapText="1"/>
    </xf>
    <xf numFmtId="0" fontId="37" fillId="0" borderId="0" xfId="0" applyFont="1" applyAlignment="1">
      <alignment horizontal="left" wrapText="1"/>
    </xf>
    <xf numFmtId="0" fontId="27" fillId="0" borderId="0" xfId="0" applyFont="1" applyAlignment="1">
      <alignment horizontal="right" wrapText="1"/>
    </xf>
    <xf numFmtId="0" fontId="36" fillId="8" borderId="1" xfId="0" applyFont="1" applyFill="1" applyBorder="1" applyAlignment="1">
      <alignment wrapText="1"/>
    </xf>
    <xf numFmtId="0" fontId="52" fillId="10" borderId="12" xfId="0" applyFont="1" applyFill="1" applyBorder="1" applyAlignment="1">
      <alignment horizontal="center" vertical="center" wrapText="1"/>
    </xf>
    <xf numFmtId="0" fontId="0" fillId="0" borderId="95" xfId="0" applyBorder="1" applyAlignment="1">
      <alignment vertical="center"/>
    </xf>
    <xf numFmtId="0" fontId="0" fillId="0" borderId="96" xfId="0" applyBorder="1" applyAlignment="1">
      <alignment vertical="center"/>
    </xf>
    <xf numFmtId="0" fontId="0" fillId="0" borderId="100" xfId="0" applyBorder="1" applyAlignment="1">
      <alignment vertical="center"/>
    </xf>
    <xf numFmtId="0" fontId="27" fillId="10" borderId="12" xfId="0" applyFont="1" applyFill="1" applyBorder="1" applyAlignment="1">
      <alignment vertical="center" wrapText="1"/>
    </xf>
    <xf numFmtId="0" fontId="0" fillId="0" borderId="12" xfId="0" applyBorder="1" applyAlignment="1">
      <alignment vertical="center" wrapText="1"/>
    </xf>
    <xf numFmtId="0" fontId="72" fillId="4" borderId="117" xfId="0" applyFont="1" applyFill="1" applyBorder="1" applyAlignment="1">
      <alignment horizontal="center" vertical="center" wrapText="1"/>
    </xf>
    <xf numFmtId="14" fontId="37" fillId="10" borderId="1" xfId="0" applyNumberFormat="1" applyFont="1" applyFill="1" applyBorder="1" applyAlignment="1">
      <alignment vertical="center"/>
    </xf>
    <xf numFmtId="0" fontId="82" fillId="0" borderId="0" xfId="0" applyFont="1" applyAlignment="1">
      <alignment horizontal="center"/>
    </xf>
    <xf numFmtId="0" fontId="83" fillId="0" borderId="0" xfId="0" applyFont="1"/>
    <xf numFmtId="0" fontId="84" fillId="0" borderId="0" xfId="0" applyFont="1"/>
    <xf numFmtId="0" fontId="64" fillId="0" borderId="0" xfId="0" applyFont="1"/>
    <xf numFmtId="0" fontId="84" fillId="16" borderId="12" xfId="0" applyFont="1" applyFill="1" applyBorder="1" applyAlignment="1">
      <alignment horizontal="center" vertical="center" wrapText="1"/>
    </xf>
    <xf numFmtId="0" fontId="85" fillId="16" borderId="12" xfId="0" applyFont="1" applyFill="1" applyBorder="1" applyAlignment="1">
      <alignment horizontal="center" vertical="center" wrapText="1"/>
    </xf>
    <xf numFmtId="3" fontId="84" fillId="16" borderId="12" xfId="0" applyNumberFormat="1" applyFont="1" applyFill="1" applyBorder="1" applyAlignment="1">
      <alignment horizontal="center" vertical="center" wrapText="1"/>
    </xf>
    <xf numFmtId="0" fontId="84" fillId="7" borderId="119" xfId="0" applyFont="1" applyFill="1" applyBorder="1" applyAlignment="1">
      <alignment horizontal="center" vertical="center" wrapText="1"/>
    </xf>
    <xf numFmtId="0" fontId="84" fillId="7" borderId="12" xfId="0" applyFont="1" applyFill="1" applyBorder="1" applyAlignment="1">
      <alignment vertical="center" wrapText="1"/>
    </xf>
    <xf numFmtId="0" fontId="84" fillId="7" borderId="12" xfId="0" applyFont="1" applyFill="1" applyBorder="1" applyAlignment="1">
      <alignment horizontal="center" vertical="center" wrapText="1"/>
    </xf>
    <xf numFmtId="167" fontId="86" fillId="7" borderId="12" xfId="0" applyNumberFormat="1" applyFont="1" applyFill="1" applyBorder="1" applyAlignment="1">
      <alignment horizontal="center" vertical="center" wrapText="1"/>
    </xf>
    <xf numFmtId="9" fontId="86" fillId="7" borderId="12" xfId="0" applyNumberFormat="1" applyFont="1" applyFill="1" applyBorder="1" applyAlignment="1">
      <alignment horizontal="center" vertical="center" wrapText="1"/>
    </xf>
    <xf numFmtId="167" fontId="86" fillId="16" borderId="12" xfId="0" applyNumberFormat="1" applyFont="1" applyFill="1" applyBorder="1" applyAlignment="1">
      <alignment horizontal="center" vertical="center"/>
    </xf>
    <xf numFmtId="168" fontId="86" fillId="7" borderId="119" xfId="0" applyNumberFormat="1" applyFont="1" applyFill="1" applyBorder="1" applyAlignment="1">
      <alignment horizontal="right" vertical="center" wrapText="1"/>
    </xf>
    <xf numFmtId="168" fontId="86" fillId="7" borderId="12" xfId="0" applyNumberFormat="1" applyFont="1" applyFill="1" applyBorder="1" applyAlignment="1">
      <alignment horizontal="center" vertical="center" wrapText="1"/>
    </xf>
    <xf numFmtId="167" fontId="84" fillId="16" borderId="12" xfId="0" applyNumberFormat="1" applyFont="1" applyFill="1" applyBorder="1" applyAlignment="1">
      <alignment horizontal="center" vertical="center" wrapText="1"/>
    </xf>
    <xf numFmtId="167" fontId="87" fillId="16" borderId="109" xfId="0" applyNumberFormat="1" applyFont="1" applyFill="1" applyBorder="1" applyAlignment="1">
      <alignment vertical="center" wrapText="1"/>
    </xf>
    <xf numFmtId="167" fontId="84" fillId="16" borderId="12" xfId="0" applyNumberFormat="1" applyFont="1" applyFill="1" applyBorder="1" applyAlignment="1">
      <alignment horizontal="center" vertical="center"/>
    </xf>
    <xf numFmtId="0" fontId="84" fillId="16" borderId="108" xfId="0" applyFont="1" applyFill="1" applyBorder="1" applyAlignment="1">
      <alignment horizontal="center" vertical="center" wrapText="1"/>
    </xf>
    <xf numFmtId="168" fontId="86" fillId="7" borderId="108" xfId="0" applyNumberFormat="1" applyFont="1" applyFill="1" applyBorder="1" applyAlignment="1">
      <alignment vertical="center" wrapText="1"/>
    </xf>
    <xf numFmtId="168" fontId="86" fillId="7" borderId="12" xfId="0" applyNumberFormat="1" applyFont="1" applyFill="1" applyBorder="1" applyAlignment="1">
      <alignment vertical="center" wrapText="1"/>
    </xf>
    <xf numFmtId="168" fontId="88" fillId="7" borderId="119" xfId="0" applyNumberFormat="1" applyFont="1" applyFill="1" applyBorder="1" applyAlignment="1">
      <alignment horizontal="left" vertical="center" wrapText="1"/>
    </xf>
    <xf numFmtId="167" fontId="86" fillId="16" borderId="12" xfId="0" applyNumberFormat="1" applyFont="1" applyFill="1" applyBorder="1" applyAlignment="1">
      <alignment horizontal="right" vertical="center"/>
    </xf>
    <xf numFmtId="0" fontId="82" fillId="0" borderId="0" xfId="0" applyFont="1" applyAlignment="1">
      <alignment horizontal="left"/>
    </xf>
    <xf numFmtId="0" fontId="89" fillId="0" borderId="0" xfId="0" applyFont="1"/>
    <xf numFmtId="0" fontId="90" fillId="0" borderId="0" xfId="0" applyFont="1"/>
    <xf numFmtId="0" fontId="91" fillId="0" borderId="0" xfId="0" applyFont="1" applyAlignment="1">
      <alignment wrapText="1"/>
    </xf>
    <xf numFmtId="166" fontId="17" fillId="3" borderId="2" xfId="0" applyNumberFormat="1" applyFont="1" applyFill="1" applyBorder="1" applyAlignment="1">
      <alignment horizontal="left"/>
    </xf>
    <xf numFmtId="0" fontId="8" fillId="0" borderId="4" xfId="0" applyFont="1" applyBorder="1"/>
    <xf numFmtId="0" fontId="8" fillId="0" borderId="3" xfId="0" applyFont="1" applyBorder="1"/>
    <xf numFmtId="0" fontId="2" fillId="2" borderId="2" xfId="0" applyFont="1" applyFill="1" applyBorder="1" applyAlignment="1">
      <alignment horizontal="center"/>
    </xf>
    <xf numFmtId="0" fontId="10" fillId="2" borderId="2" xfId="0" applyFont="1" applyFill="1" applyBorder="1" applyAlignment="1">
      <alignment horizontal="center"/>
    </xf>
    <xf numFmtId="10" fontId="9" fillId="2" borderId="7" xfId="0" applyNumberFormat="1" applyFont="1" applyFill="1" applyBorder="1" applyAlignment="1">
      <alignment horizontal="center" vertical="center"/>
    </xf>
    <xf numFmtId="0" fontId="8" fillId="0" borderId="10" xfId="0" applyFont="1" applyBorder="1"/>
    <xf numFmtId="0" fontId="10" fillId="2" borderId="2" xfId="0" applyFont="1" applyFill="1" applyBorder="1" applyAlignment="1">
      <alignment horizontal="center" vertical="top"/>
    </xf>
    <xf numFmtId="0" fontId="14" fillId="3" borderId="2" xfId="0" applyFont="1" applyFill="1" applyBorder="1" applyAlignment="1">
      <alignment horizontal="left"/>
    </xf>
    <xf numFmtId="0" fontId="16" fillId="3" borderId="2" xfId="0" applyFont="1" applyFill="1" applyBorder="1" applyAlignment="1">
      <alignment horizontal="left"/>
    </xf>
    <xf numFmtId="0" fontId="2" fillId="2" borderId="5" xfId="0" applyFont="1" applyFill="1" applyBorder="1" applyAlignment="1">
      <alignment horizontal="center" vertical="center" wrapText="1"/>
    </xf>
    <xf numFmtId="0" fontId="8" fillId="0" borderId="6" xfId="0" applyFont="1" applyBorder="1"/>
    <xf numFmtId="0" fontId="8" fillId="0" borderId="8" xfId="0" applyFont="1" applyBorder="1"/>
    <xf numFmtId="0" fontId="8" fillId="0" borderId="9" xfId="0" applyFont="1" applyBorder="1"/>
    <xf numFmtId="2" fontId="9" fillId="2" borderId="7" xfId="0" applyNumberFormat="1" applyFont="1" applyFill="1" applyBorder="1" applyAlignment="1">
      <alignment horizontal="center" vertical="center"/>
    </xf>
    <xf numFmtId="0" fontId="2" fillId="2" borderId="2" xfId="0" applyFont="1" applyFill="1" applyBorder="1" applyAlignment="1">
      <alignment horizontal="center" vertical="center"/>
    </xf>
    <xf numFmtId="164" fontId="10" fillId="2" borderId="2" xfId="0" applyNumberFormat="1" applyFont="1" applyFill="1" applyBorder="1" applyAlignment="1">
      <alignment horizontal="center" vertical="top"/>
    </xf>
    <xf numFmtId="0" fontId="18" fillId="0" borderId="0" xfId="0" applyFont="1" applyAlignment="1">
      <alignment horizontal="left" vertical="top" wrapText="1"/>
    </xf>
    <xf numFmtId="0" fontId="0" fillId="0" borderId="0" xfId="0"/>
    <xf numFmtId="0" fontId="23" fillId="0" borderId="0" xfId="0" applyFont="1" applyAlignment="1">
      <alignment horizontal="left" vertical="top"/>
    </xf>
    <xf numFmtId="0" fontId="18" fillId="0" borderId="0" xfId="0" applyFont="1" applyAlignment="1">
      <alignment horizontal="left" vertical="top"/>
    </xf>
    <xf numFmtId="0" fontId="23" fillId="0" borderId="0" xfId="0" applyFont="1" applyAlignment="1">
      <alignment horizontal="left" vertical="top" wrapText="1"/>
    </xf>
    <xf numFmtId="10" fontId="22" fillId="0" borderId="0" xfId="0" applyNumberFormat="1" applyFont="1" applyAlignment="1">
      <alignment horizontal="left" vertical="top"/>
    </xf>
    <xf numFmtId="2" fontId="22" fillId="0" borderId="0" xfId="0" applyNumberFormat="1" applyFont="1" applyAlignment="1">
      <alignment horizontal="left" vertical="top"/>
    </xf>
    <xf numFmtId="164" fontId="23" fillId="0" borderId="0" xfId="0" applyNumberFormat="1" applyFont="1" applyAlignment="1">
      <alignment horizontal="left" vertical="top"/>
    </xf>
    <xf numFmtId="164" fontId="32" fillId="7" borderId="45" xfId="0" applyNumberFormat="1" applyFont="1" applyFill="1" applyBorder="1" applyAlignment="1">
      <alignment horizontal="center"/>
    </xf>
    <xf numFmtId="0" fontId="8" fillId="0" borderId="46" xfId="0" applyFont="1" applyBorder="1"/>
    <xf numFmtId="0" fontId="8" fillId="0" borderId="47" xfId="0" applyFont="1" applyBorder="1"/>
    <xf numFmtId="0" fontId="30" fillId="0" borderId="45" xfId="0" applyFont="1" applyBorder="1" applyAlignment="1">
      <alignment horizontal="left"/>
    </xf>
    <xf numFmtId="0" fontId="32" fillId="7" borderId="45" xfId="0" applyFont="1" applyFill="1" applyBorder="1" applyAlignment="1">
      <alignment horizontal="left"/>
    </xf>
    <xf numFmtId="0" fontId="37" fillId="0" borderId="45" xfId="0" applyFont="1" applyBorder="1" applyAlignment="1">
      <alignment horizontal="center" vertical="center" wrapText="1"/>
    </xf>
    <xf numFmtId="164" fontId="37" fillId="0" borderId="45" xfId="0" applyNumberFormat="1" applyFont="1" applyBorder="1" applyAlignment="1">
      <alignment horizontal="center"/>
    </xf>
    <xf numFmtId="0" fontId="30" fillId="0" borderId="45" xfId="0" applyFont="1" applyBorder="1" applyAlignment="1">
      <alignment horizontal="center"/>
    </xf>
    <xf numFmtId="0" fontId="30" fillId="0" borderId="0" xfId="0" applyFont="1" applyAlignment="1">
      <alignment horizontal="right" vertical="center"/>
    </xf>
    <xf numFmtId="0" fontId="44" fillId="7" borderId="2" xfId="0" applyFont="1" applyFill="1" applyBorder="1" applyAlignment="1">
      <alignment horizontal="center" vertical="center"/>
    </xf>
    <xf numFmtId="164" fontId="34" fillId="7" borderId="2" xfId="0" applyNumberFormat="1" applyFont="1" applyFill="1" applyBorder="1" applyAlignment="1">
      <alignment horizontal="center" vertical="center"/>
    </xf>
    <xf numFmtId="0" fontId="33" fillId="7" borderId="5" xfId="0" applyFont="1" applyFill="1" applyBorder="1" applyAlignment="1">
      <alignment vertical="top" wrapText="1"/>
    </xf>
    <xf numFmtId="0" fontId="8" fillId="0" borderId="35" xfId="0" applyFont="1" applyBorder="1"/>
    <xf numFmtId="0" fontId="8" fillId="0" borderId="43" xfId="0" applyFont="1" applyBorder="1"/>
    <xf numFmtId="0" fontId="8" fillId="0" borderId="44" xfId="0" applyFont="1" applyBorder="1"/>
    <xf numFmtId="0" fontId="8" fillId="0" borderId="36" xfId="0" applyFont="1" applyBorder="1"/>
    <xf numFmtId="0" fontId="35" fillId="7" borderId="2" xfId="0" applyFont="1" applyFill="1" applyBorder="1" applyAlignment="1">
      <alignment horizontal="center" vertical="center"/>
    </xf>
    <xf numFmtId="0" fontId="38" fillId="0" borderId="0" xfId="0" applyFont="1" applyAlignment="1">
      <alignment horizontal="center" vertical="top"/>
    </xf>
    <xf numFmtId="0" fontId="30" fillId="0" borderId="0" xfId="0" applyFont="1" applyAlignment="1">
      <alignment horizontal="center"/>
    </xf>
    <xf numFmtId="0" fontId="30" fillId="7" borderId="2" xfId="0" applyFont="1" applyFill="1" applyBorder="1" applyAlignment="1">
      <alignment horizontal="center" vertical="center"/>
    </xf>
    <xf numFmtId="0" fontId="41" fillId="0" borderId="0" xfId="0" applyFont="1" applyAlignment="1">
      <alignment horizontal="right" vertical="center"/>
    </xf>
    <xf numFmtId="0" fontId="0" fillId="7" borderId="2" xfId="0" applyFill="1" applyBorder="1" applyAlignment="1">
      <alignment horizontal="center"/>
    </xf>
    <xf numFmtId="0" fontId="33" fillId="7" borderId="37" xfId="0" applyFont="1" applyFill="1" applyBorder="1" applyAlignment="1">
      <alignment horizontal="center" vertical="center"/>
    </xf>
    <xf numFmtId="0" fontId="8" fillId="0" borderId="38" xfId="0" applyFont="1" applyBorder="1"/>
    <xf numFmtId="0" fontId="8" fillId="0" borderId="39" xfId="0" applyFont="1" applyBorder="1"/>
    <xf numFmtId="0" fontId="30" fillId="0" borderId="0" xfId="0" applyFont="1" applyAlignment="1">
      <alignment horizontal="right"/>
    </xf>
    <xf numFmtId="0" fontId="30" fillId="0" borderId="0" xfId="0" applyFont="1" applyAlignment="1">
      <alignment horizontal="left"/>
    </xf>
    <xf numFmtId="0" fontId="32" fillId="7" borderId="2" xfId="0" applyFont="1" applyFill="1" applyBorder="1" applyAlignment="1">
      <alignment horizontal="center" vertical="center"/>
    </xf>
    <xf numFmtId="0" fontId="34" fillId="0" borderId="0" xfId="0" applyFont="1" applyAlignment="1">
      <alignment horizontal="center" vertical="center"/>
    </xf>
    <xf numFmtId="0" fontId="32" fillId="7" borderId="2" xfId="0" applyFont="1" applyFill="1" applyBorder="1" applyAlignment="1">
      <alignment horizontal="left" vertical="center"/>
    </xf>
    <xf numFmtId="0" fontId="35" fillId="3" borderId="2" xfId="0" applyFont="1" applyFill="1" applyBorder="1" applyAlignment="1">
      <alignment horizontal="center" vertical="center"/>
    </xf>
    <xf numFmtId="0" fontId="31" fillId="7" borderId="17" xfId="0" applyFont="1" applyFill="1" applyBorder="1" applyAlignment="1">
      <alignment horizontal="center"/>
    </xf>
    <xf numFmtId="0" fontId="8" fillId="0" borderId="18" xfId="0" applyFont="1" applyBorder="1"/>
    <xf numFmtId="0" fontId="8" fillId="0" borderId="19" xfId="0" applyFont="1" applyBorder="1"/>
    <xf numFmtId="0" fontId="8" fillId="0" borderId="16" xfId="0" applyFont="1" applyBorder="1"/>
    <xf numFmtId="0" fontId="32" fillId="7" borderId="17" xfId="0" applyFont="1" applyFill="1" applyBorder="1" applyAlignment="1">
      <alignment horizontal="center"/>
    </xf>
    <xf numFmtId="0" fontId="30" fillId="0" borderId="0" xfId="0" applyFont="1" applyAlignment="1">
      <alignment horizontal="left" vertical="center" wrapText="1"/>
    </xf>
    <xf numFmtId="0" fontId="30" fillId="0" borderId="0" xfId="0" applyFont="1" applyAlignment="1">
      <alignment vertical="center" wrapText="1"/>
    </xf>
    <xf numFmtId="0" fontId="37" fillId="7" borderId="2" xfId="0" applyFont="1" applyFill="1" applyBorder="1" applyAlignment="1">
      <alignment horizontal="center" vertical="center"/>
    </xf>
    <xf numFmtId="0" fontId="36" fillId="8" borderId="32" xfId="0" applyFont="1" applyFill="1" applyBorder="1" applyAlignment="1">
      <alignment horizontal="left"/>
    </xf>
    <xf numFmtId="0" fontId="8" fillId="0" borderId="33" xfId="0" applyFont="1" applyBorder="1"/>
    <xf numFmtId="0" fontId="8" fillId="0" borderId="34" xfId="0" applyFont="1" applyBorder="1"/>
    <xf numFmtId="0" fontId="32" fillId="7" borderId="2" xfId="0" applyFont="1" applyFill="1" applyBorder="1" applyAlignment="1">
      <alignment horizontal="center" vertical="center" wrapText="1"/>
    </xf>
    <xf numFmtId="0" fontId="30" fillId="0" borderId="0" xfId="0" applyFont="1" applyAlignment="1">
      <alignment horizontal="center" vertical="center"/>
    </xf>
    <xf numFmtId="0" fontId="36" fillId="8" borderId="32" xfId="0" applyFont="1" applyFill="1" applyBorder="1" applyAlignment="1">
      <alignment horizontal="left" vertical="center"/>
    </xf>
    <xf numFmtId="0" fontId="34" fillId="7" borderId="2" xfId="0" applyFont="1" applyFill="1" applyBorder="1" applyAlignment="1">
      <alignment horizontal="center" vertical="center"/>
    </xf>
    <xf numFmtId="0" fontId="30" fillId="0" borderId="0" xfId="0" applyFont="1" applyAlignment="1">
      <alignment horizontal="left" vertical="center"/>
    </xf>
    <xf numFmtId="0" fontId="33" fillId="7" borderId="2" xfId="0" applyFont="1" applyFill="1" applyBorder="1" applyAlignment="1">
      <alignment horizontal="center" vertical="center"/>
    </xf>
    <xf numFmtId="10" fontId="33" fillId="7" borderId="2" xfId="0" applyNumberFormat="1" applyFont="1" applyFill="1" applyBorder="1" applyAlignment="1">
      <alignment horizontal="left" vertical="center" wrapText="1"/>
    </xf>
    <xf numFmtId="164" fontId="32" fillId="7" borderId="2" xfId="0" applyNumberFormat="1" applyFont="1" applyFill="1" applyBorder="1" applyAlignment="1">
      <alignment horizontal="center"/>
    </xf>
    <xf numFmtId="0" fontId="34" fillId="0" borderId="0" xfId="0" applyFont="1" applyAlignment="1">
      <alignment horizontal="right" vertical="center"/>
    </xf>
    <xf numFmtId="0" fontId="32" fillId="7" borderId="21" xfId="0" applyFont="1" applyFill="1" applyBorder="1" applyAlignment="1">
      <alignment horizontal="center"/>
    </xf>
    <xf numFmtId="0" fontId="8" fillId="0" borderId="22" xfId="0" applyFont="1" applyBorder="1"/>
    <xf numFmtId="0" fontId="30" fillId="7" borderId="2" xfId="0" applyFont="1" applyFill="1" applyBorder="1" applyAlignment="1">
      <alignment horizontal="center"/>
    </xf>
    <xf numFmtId="0" fontId="38" fillId="0" borderId="0" xfId="0" applyFont="1" applyAlignment="1">
      <alignment horizontal="left" vertical="top"/>
    </xf>
    <xf numFmtId="0" fontId="30" fillId="0" borderId="0" xfId="0" applyFont="1" applyAlignment="1">
      <alignment horizontal="left" vertical="top" wrapText="1"/>
    </xf>
    <xf numFmtId="0" fontId="27" fillId="0" borderId="0" xfId="0" applyFont="1" applyAlignment="1">
      <alignment horizontal="left"/>
    </xf>
    <xf numFmtId="0" fontId="43" fillId="9" borderId="40" xfId="0" applyFont="1" applyFill="1" applyBorder="1" applyAlignment="1">
      <alignment horizontal="center" vertical="center" wrapText="1"/>
    </xf>
    <xf numFmtId="0" fontId="8" fillId="0" borderId="41" xfId="0" applyFont="1" applyBorder="1"/>
    <xf numFmtId="0" fontId="8" fillId="0" borderId="42" xfId="0" applyFont="1" applyBorder="1"/>
    <xf numFmtId="0" fontId="8" fillId="0" borderId="26" xfId="0" applyFont="1" applyBorder="1"/>
    <xf numFmtId="0" fontId="8" fillId="0" borderId="27" xfId="0" applyFont="1" applyBorder="1"/>
    <xf numFmtId="0" fontId="8" fillId="0" borderId="29" xfId="0" applyFont="1" applyBorder="1"/>
    <xf numFmtId="0" fontId="8" fillId="0" borderId="30" xfId="0" applyFont="1" applyBorder="1"/>
    <xf numFmtId="0" fontId="8" fillId="0" borderId="31" xfId="0" applyFont="1" applyBorder="1"/>
    <xf numFmtId="0" fontId="42" fillId="0" borderId="0" xfId="0" applyFont="1" applyAlignment="1">
      <alignment horizontal="center"/>
    </xf>
    <xf numFmtId="0" fontId="32" fillId="7" borderId="2" xfId="0" applyFont="1" applyFill="1" applyBorder="1" applyAlignment="1">
      <alignment horizontal="left" wrapText="1"/>
    </xf>
    <xf numFmtId="0" fontId="33" fillId="7" borderId="5" xfId="0" applyFont="1" applyFill="1" applyBorder="1" applyAlignment="1">
      <alignment horizontal="left" vertical="top" wrapText="1"/>
    </xf>
    <xf numFmtId="0" fontId="34" fillId="0" borderId="0" xfId="0" applyFont="1" applyAlignment="1">
      <alignment horizontal="right"/>
    </xf>
    <xf numFmtId="0" fontId="30" fillId="7" borderId="17" xfId="0" applyFont="1" applyFill="1" applyBorder="1" applyAlignment="1">
      <alignment horizontal="center"/>
    </xf>
    <xf numFmtId="1" fontId="32" fillId="7" borderId="2" xfId="0" applyNumberFormat="1" applyFont="1" applyFill="1" applyBorder="1" applyAlignment="1">
      <alignment horizontal="center" vertical="center" wrapText="1"/>
    </xf>
    <xf numFmtId="0" fontId="38" fillId="0" borderId="0" xfId="0" applyFont="1" applyAlignment="1">
      <alignment horizontal="left" vertical="top" wrapText="1"/>
    </xf>
    <xf numFmtId="0" fontId="28" fillId="0" borderId="13" xfId="0" applyFont="1" applyBorder="1" applyAlignment="1">
      <alignment horizontal="center" vertical="center"/>
    </xf>
    <xf numFmtId="0" fontId="8" fillId="0" borderId="14" xfId="0" applyFont="1" applyBorder="1"/>
    <xf numFmtId="0" fontId="8" fillId="0" borderId="15" xfId="0" applyFont="1" applyBorder="1"/>
    <xf numFmtId="0" fontId="27" fillId="0" borderId="0" xfId="0" applyFont="1" applyAlignment="1">
      <alignment horizontal="center"/>
    </xf>
    <xf numFmtId="0" fontId="38" fillId="0" borderId="28" xfId="0" applyFont="1" applyBorder="1" applyAlignment="1">
      <alignment horizontal="center" vertical="top"/>
    </xf>
    <xf numFmtId="0" fontId="8" fillId="0" borderId="28" xfId="0" applyFont="1" applyBorder="1"/>
    <xf numFmtId="0" fontId="32" fillId="7" borderId="2" xfId="0" applyFont="1" applyFill="1" applyBorder="1" applyAlignment="1">
      <alignment horizontal="center" vertical="top" wrapText="1"/>
    </xf>
    <xf numFmtId="0" fontId="30" fillId="0" borderId="0" xfId="0" applyFont="1" applyAlignment="1">
      <alignment horizontal="center" wrapText="1"/>
    </xf>
    <xf numFmtId="0" fontId="37" fillId="0" borderId="0" xfId="0" applyFont="1" applyAlignment="1">
      <alignment horizontal="left"/>
    </xf>
    <xf numFmtId="0" fontId="32" fillId="10" borderId="2" xfId="0" applyFont="1" applyFill="1" applyBorder="1" applyAlignment="1">
      <alignment horizontal="left"/>
    </xf>
    <xf numFmtId="0" fontId="37" fillId="0" borderId="0" xfId="0" applyFont="1" applyAlignment="1">
      <alignment horizontal="right"/>
    </xf>
    <xf numFmtId="0" fontId="51" fillId="0" borderId="13" xfId="0" applyFont="1" applyBorder="1" applyAlignment="1">
      <alignment horizontal="left"/>
    </xf>
    <xf numFmtId="0" fontId="34" fillId="0" borderId="45" xfId="0" applyFont="1" applyBorder="1" applyAlignment="1">
      <alignment horizontal="left"/>
    </xf>
    <xf numFmtId="0" fontId="37" fillId="0" borderId="45" xfId="0" applyFont="1" applyBorder="1" applyAlignment="1">
      <alignment horizontal="left"/>
    </xf>
    <xf numFmtId="0" fontId="34" fillId="0" borderId="45" xfId="0" applyFont="1" applyBorder="1" applyAlignment="1">
      <alignment horizontal="left" vertical="center" wrapText="1"/>
    </xf>
    <xf numFmtId="0" fontId="27" fillId="0" borderId="68" xfId="0" applyFont="1" applyBorder="1" applyAlignment="1">
      <alignment horizontal="center" vertical="center" wrapText="1"/>
    </xf>
    <xf numFmtId="0" fontId="8" fillId="0" borderId="73" xfId="0" applyFont="1" applyBorder="1"/>
    <xf numFmtId="0" fontId="55" fillId="0" borderId="69" xfId="0" applyFont="1" applyBorder="1" applyAlignment="1">
      <alignment horizontal="center" vertical="center" wrapText="1"/>
    </xf>
    <xf numFmtId="0" fontId="8" fillId="0" borderId="70" xfId="0" applyFont="1" applyBorder="1"/>
    <xf numFmtId="0" fontId="8" fillId="0" borderId="74" xfId="0" applyFont="1" applyBorder="1"/>
    <xf numFmtId="0" fontId="8" fillId="0" borderId="75" xfId="0" applyFont="1" applyBorder="1"/>
    <xf numFmtId="0" fontId="34" fillId="0" borderId="85" xfId="0" applyFont="1" applyBorder="1" applyAlignment="1">
      <alignment horizontal="left"/>
    </xf>
    <xf numFmtId="0" fontId="8" fillId="0" borderId="86" xfId="0" applyFont="1" applyBorder="1"/>
    <xf numFmtId="0" fontId="52" fillId="0" borderId="81" xfId="0" applyFont="1" applyBorder="1" applyAlignment="1">
      <alignment horizontal="left" vertical="center" wrapText="1"/>
    </xf>
    <xf numFmtId="0" fontId="8" fillId="0" borderId="82" xfId="0" applyFont="1" applyBorder="1"/>
    <xf numFmtId="0" fontId="8" fillId="0" borderId="83" xfId="0" applyFont="1" applyBorder="1"/>
    <xf numFmtId="0" fontId="37" fillId="0" borderId="45" xfId="0" applyFont="1" applyBorder="1" applyAlignment="1">
      <alignment horizontal="left" vertical="center" wrapText="1"/>
    </xf>
    <xf numFmtId="0" fontId="27" fillId="0" borderId="45" xfId="0" applyFont="1" applyBorder="1" applyAlignment="1">
      <alignment horizontal="left"/>
    </xf>
    <xf numFmtId="0" fontId="36" fillId="8" borderId="2" xfId="0" applyFont="1" applyFill="1" applyBorder="1" applyAlignment="1">
      <alignment horizontal="left" vertical="center" wrapText="1"/>
    </xf>
    <xf numFmtId="0" fontId="35" fillId="10" borderId="2" xfId="0" applyFont="1" applyFill="1" applyBorder="1" applyAlignment="1">
      <alignment horizontal="left" vertical="center"/>
    </xf>
    <xf numFmtId="0" fontId="52" fillId="10" borderId="45" xfId="0" applyFont="1" applyFill="1" applyBorder="1" applyAlignment="1">
      <alignment horizontal="left" vertical="center" wrapText="1"/>
    </xf>
    <xf numFmtId="0" fontId="34" fillId="0" borderId="0" xfId="0" applyFont="1" applyAlignment="1">
      <alignment horizontal="left"/>
    </xf>
    <xf numFmtId="0" fontId="37" fillId="10" borderId="45" xfId="0" applyFont="1" applyFill="1" applyBorder="1" applyAlignment="1">
      <alignment horizontal="left" vertical="center" wrapText="1"/>
    </xf>
    <xf numFmtId="0" fontId="30" fillId="10" borderId="2" xfId="0" applyFont="1" applyFill="1" applyBorder="1" applyAlignment="1">
      <alignment horizontal="left" vertical="center"/>
    </xf>
    <xf numFmtId="0" fontId="34" fillId="0" borderId="45" xfId="0" applyFont="1" applyBorder="1" applyAlignment="1">
      <alignment horizontal="left" vertical="center"/>
    </xf>
    <xf numFmtId="0" fontId="52" fillId="0" borderId="45" xfId="0" applyFont="1" applyBorder="1" applyAlignment="1">
      <alignment horizontal="left" vertical="center"/>
    </xf>
    <xf numFmtId="0" fontId="8" fillId="0" borderId="87" xfId="0" applyFont="1" applyBorder="1"/>
    <xf numFmtId="164" fontId="33" fillId="7" borderId="45" xfId="0" applyNumberFormat="1" applyFont="1" applyFill="1" applyBorder="1" applyAlignment="1">
      <alignment horizontal="center" vertical="center"/>
    </xf>
    <xf numFmtId="0" fontId="27" fillId="0" borderId="82" xfId="0" applyFont="1" applyBorder="1" applyAlignment="1">
      <alignment horizontal="center" vertical="center"/>
    </xf>
    <xf numFmtId="0" fontId="52" fillId="0" borderId="81" xfId="0" applyFont="1" applyBorder="1" applyAlignment="1">
      <alignment horizontal="left" vertical="center"/>
    </xf>
    <xf numFmtId="0" fontId="52" fillId="0" borderId="45" xfId="0" applyFont="1" applyBorder="1" applyAlignment="1">
      <alignment horizontal="center" vertical="center"/>
    </xf>
    <xf numFmtId="0" fontId="37" fillId="10" borderId="45" xfId="0" applyFont="1" applyFill="1" applyBorder="1" applyAlignment="1">
      <alignment horizontal="left" vertical="center"/>
    </xf>
    <xf numFmtId="0" fontId="56" fillId="10" borderId="45" xfId="0" applyFont="1" applyFill="1" applyBorder="1" applyAlignment="1">
      <alignment horizontal="center" vertical="center" wrapText="1"/>
    </xf>
    <xf numFmtId="0" fontId="32" fillId="10" borderId="2" xfId="0" applyFont="1" applyFill="1" applyBorder="1" applyAlignment="1">
      <alignment horizontal="left" vertical="center"/>
    </xf>
    <xf numFmtId="0" fontId="34" fillId="7" borderId="45" xfId="0" applyFont="1" applyFill="1" applyBorder="1" applyAlignment="1">
      <alignment horizontal="left" vertical="center"/>
    </xf>
    <xf numFmtId="0" fontId="36" fillId="8" borderId="32" xfId="0" applyFont="1" applyFill="1" applyBorder="1" applyAlignment="1">
      <alignment horizontal="left" vertical="center" wrapText="1"/>
    </xf>
    <xf numFmtId="0" fontId="52" fillId="0" borderId="45" xfId="0" applyFont="1" applyBorder="1" applyAlignment="1">
      <alignment horizontal="left" vertical="center" wrapText="1"/>
    </xf>
    <xf numFmtId="0" fontId="64" fillId="0" borderId="46" xfId="0" applyFont="1" applyBorder="1" applyAlignment="1">
      <alignment horizontal="center"/>
    </xf>
    <xf numFmtId="0" fontId="64" fillId="0" borderId="48" xfId="0" applyFont="1" applyBorder="1" applyAlignment="1">
      <alignment horizontal="center" vertical="top"/>
    </xf>
    <xf numFmtId="0" fontId="8" fillId="0" borderId="48" xfId="0" applyFont="1" applyBorder="1"/>
    <xf numFmtId="0" fontId="56" fillId="0" borderId="85" xfId="0" applyFont="1" applyBorder="1" applyAlignment="1">
      <alignment horizontal="center" vertical="center" wrapText="1"/>
    </xf>
    <xf numFmtId="0" fontId="8" fillId="0" borderId="92" xfId="0" applyFont="1" applyBorder="1"/>
    <xf numFmtId="0" fontId="8" fillId="0" borderId="93" xfId="0" applyFont="1" applyBorder="1"/>
    <xf numFmtId="0" fontId="23" fillId="0" borderId="46" xfId="0" applyFont="1" applyBorder="1" applyAlignment="1">
      <alignment horizontal="center" vertical="top"/>
    </xf>
    <xf numFmtId="10" fontId="27" fillId="0" borderId="95" xfId="0" applyNumberFormat="1" applyFont="1" applyBorder="1" applyAlignment="1">
      <alignment horizontal="center" vertical="center"/>
    </xf>
    <xf numFmtId="0" fontId="8" fillId="0" borderId="100" xfId="0" applyFont="1" applyBorder="1"/>
    <xf numFmtId="0" fontId="65" fillId="0" borderId="102" xfId="0" applyFont="1" applyBorder="1" applyAlignment="1">
      <alignment horizontal="left" vertical="center" wrapText="1"/>
    </xf>
    <xf numFmtId="0" fontId="8" fillId="0" borderId="94" xfId="0" applyFont="1" applyBorder="1"/>
    <xf numFmtId="0" fontId="27" fillId="8" borderId="45" xfId="0" applyFont="1" applyFill="1" applyBorder="1" applyAlignment="1">
      <alignment horizontal="center" vertical="center"/>
    </xf>
    <xf numFmtId="0" fontId="8" fillId="0" borderId="97" xfId="0" applyFont="1" applyBorder="1"/>
    <xf numFmtId="0" fontId="64" fillId="0" borderId="48" xfId="0" applyFont="1" applyBorder="1" applyAlignment="1">
      <alignment horizontal="center"/>
    </xf>
    <xf numFmtId="164" fontId="64" fillId="0" borderId="28" xfId="0" applyNumberFormat="1" applyFont="1" applyBorder="1" applyAlignment="1">
      <alignment horizontal="center" vertical="top"/>
    </xf>
    <xf numFmtId="0" fontId="56" fillId="0" borderId="99" xfId="0" applyFont="1" applyBorder="1" applyAlignment="1">
      <alignment horizontal="center" vertical="center" wrapText="1"/>
    </xf>
    <xf numFmtId="0" fontId="65" fillId="0" borderId="27" xfId="0" applyFont="1" applyBorder="1" applyAlignment="1">
      <alignment horizontal="left" vertical="center" wrapText="1"/>
    </xf>
    <xf numFmtId="0" fontId="8" fillId="0" borderId="101" xfId="0" applyFont="1" applyBorder="1"/>
    <xf numFmtId="2" fontId="27" fillId="0" borderId="95" xfId="0" applyNumberFormat="1" applyFont="1" applyBorder="1" applyAlignment="1">
      <alignment horizontal="center" vertical="center"/>
    </xf>
    <xf numFmtId="164" fontId="21" fillId="10" borderId="81" xfId="0" applyNumberFormat="1" applyFont="1" applyFill="1" applyBorder="1" applyAlignment="1">
      <alignment horizontal="center" vertical="center"/>
    </xf>
    <xf numFmtId="0" fontId="63" fillId="10" borderId="45" xfId="0" applyFont="1" applyFill="1" applyBorder="1" applyAlignment="1">
      <alignment horizontal="left" vertical="center"/>
    </xf>
    <xf numFmtId="0" fontId="63" fillId="0" borderId="45" xfId="0" applyFont="1" applyBorder="1" applyAlignment="1">
      <alignment horizontal="left" vertical="center"/>
    </xf>
    <xf numFmtId="0" fontId="34" fillId="10" borderId="2" xfId="0" applyFont="1" applyFill="1" applyBorder="1" applyAlignment="1">
      <alignment horizontal="left"/>
    </xf>
    <xf numFmtId="164" fontId="20" fillId="7" borderId="45" xfId="0" applyNumberFormat="1" applyFont="1" applyFill="1" applyBorder="1" applyAlignment="1">
      <alignment horizontal="center" vertical="center"/>
    </xf>
    <xf numFmtId="0" fontId="63" fillId="7" borderId="45" xfId="0" applyFont="1" applyFill="1" applyBorder="1" applyAlignment="1">
      <alignment horizontal="left" vertical="center"/>
    </xf>
    <xf numFmtId="14" fontId="48" fillId="10" borderId="45" xfId="0" applyNumberFormat="1" applyFont="1" applyFill="1" applyBorder="1" applyAlignment="1">
      <alignment horizontal="center" vertical="center" wrapText="1"/>
    </xf>
    <xf numFmtId="0" fontId="36" fillId="0" borderId="72" xfId="0" applyFont="1" applyBorder="1" applyAlignment="1">
      <alignment horizontal="center" vertical="center"/>
    </xf>
    <xf numFmtId="164" fontId="21" fillId="7" borderId="45" xfId="0" applyNumberFormat="1" applyFont="1" applyFill="1" applyBorder="1" applyAlignment="1">
      <alignment horizontal="center" vertical="center"/>
    </xf>
    <xf numFmtId="0" fontId="48" fillId="0" borderId="89" xfId="0" applyFont="1" applyBorder="1" applyAlignment="1">
      <alignment horizontal="center" vertical="center"/>
    </xf>
    <xf numFmtId="0" fontId="8" fillId="0" borderId="90" xfId="0" applyFont="1" applyBorder="1"/>
    <xf numFmtId="164" fontId="21" fillId="10" borderId="45" xfId="0" applyNumberFormat="1" applyFont="1" applyFill="1" applyBorder="1" applyAlignment="1">
      <alignment horizontal="center" vertical="center"/>
    </xf>
    <xf numFmtId="0" fontId="36" fillId="0" borderId="69" xfId="0" applyFont="1" applyBorder="1" applyAlignment="1">
      <alignment horizontal="center" vertical="center"/>
    </xf>
    <xf numFmtId="0" fontId="27" fillId="0" borderId="68" xfId="0" applyFont="1" applyBorder="1" applyAlignment="1">
      <alignment horizontal="center" vertical="center"/>
    </xf>
    <xf numFmtId="0" fontId="8" fillId="0" borderId="91" xfId="0" applyFont="1" applyBorder="1"/>
    <xf numFmtId="0" fontId="63" fillId="0" borderId="45" xfId="0" applyFont="1" applyBorder="1" applyAlignment="1">
      <alignment horizontal="left" vertical="center" wrapText="1"/>
    </xf>
    <xf numFmtId="164" fontId="21" fillId="0" borderId="45" xfId="0" applyNumberFormat="1" applyFont="1" applyBorder="1" applyAlignment="1">
      <alignment horizontal="center" vertical="center"/>
    </xf>
    <xf numFmtId="0" fontId="63" fillId="10" borderId="81" xfId="0" applyFont="1" applyFill="1" applyBorder="1" applyAlignment="1">
      <alignment horizontal="left" vertical="center" wrapText="1"/>
    </xf>
    <xf numFmtId="0" fontId="37" fillId="0" borderId="95" xfId="0" applyFont="1" applyBorder="1" applyAlignment="1">
      <alignment horizontal="center" vertical="center" textRotation="90" wrapText="1"/>
    </xf>
    <xf numFmtId="0" fontId="8" fillId="0" borderId="96" xfId="0" applyFont="1" applyBorder="1"/>
    <xf numFmtId="0" fontId="43" fillId="7" borderId="45" xfId="0" applyFont="1" applyFill="1" applyBorder="1" applyAlignment="1">
      <alignment horizontal="left" vertical="center" wrapText="1"/>
    </xf>
    <xf numFmtId="0" fontId="43" fillId="7" borderId="45" xfId="0" applyFont="1" applyFill="1" applyBorder="1" applyAlignment="1">
      <alignment horizontal="center" vertical="center" wrapText="1"/>
    </xf>
    <xf numFmtId="0" fontId="48" fillId="11" borderId="45" xfId="0" applyFont="1" applyFill="1" applyBorder="1" applyAlignment="1">
      <alignment horizontal="center" vertical="center" wrapText="1"/>
    </xf>
    <xf numFmtId="0" fontId="37" fillId="7" borderId="45" xfId="0" applyFont="1" applyFill="1" applyBorder="1" applyAlignment="1">
      <alignment horizontal="center" vertical="center" wrapText="1"/>
    </xf>
    <xf numFmtId="0" fontId="66" fillId="3" borderId="104" xfId="0" applyFont="1" applyFill="1" applyBorder="1" applyAlignment="1">
      <alignment horizontal="left" vertical="center" wrapText="1"/>
    </xf>
    <xf numFmtId="0" fontId="8" fillId="0" borderId="105" xfId="0" applyFont="1" applyBorder="1"/>
    <xf numFmtId="0" fontId="8" fillId="0" borderId="106" xfId="0" applyFont="1" applyBorder="1"/>
    <xf numFmtId="0" fontId="54" fillId="3" borderId="45" xfId="0" applyFont="1" applyFill="1" applyBorder="1" applyAlignment="1">
      <alignment horizontal="left" vertical="center" wrapText="1"/>
    </xf>
    <xf numFmtId="0" fontId="0" fillId="0" borderId="45" xfId="0" applyBorder="1" applyAlignment="1">
      <alignment horizontal="left" vertical="top" wrapText="1"/>
    </xf>
    <xf numFmtId="0" fontId="43" fillId="0" borderId="45" xfId="0" applyFont="1" applyBorder="1" applyAlignment="1">
      <alignment horizontal="left" vertical="center" wrapText="1"/>
    </xf>
    <xf numFmtId="0" fontId="0" fillId="7" borderId="45" xfId="0" applyFill="1" applyBorder="1" applyAlignment="1">
      <alignment horizontal="left" vertical="top" wrapText="1"/>
    </xf>
    <xf numFmtId="14" fontId="30" fillId="10" borderId="2" xfId="0" applyNumberFormat="1" applyFont="1" applyFill="1" applyBorder="1" applyAlignment="1">
      <alignment horizontal="left" vertical="center"/>
    </xf>
    <xf numFmtId="0" fontId="37" fillId="11" borderId="45" xfId="0" applyFont="1" applyFill="1" applyBorder="1" applyAlignment="1">
      <alignment horizontal="center" vertical="center" wrapText="1"/>
    </xf>
    <xf numFmtId="0" fontId="36" fillId="8" borderId="103" xfId="0" applyFont="1" applyFill="1" applyBorder="1" applyAlignment="1">
      <alignment horizontal="left" vertical="center"/>
    </xf>
    <xf numFmtId="0" fontId="27" fillId="11" borderId="45" xfId="0" applyFont="1" applyFill="1" applyBorder="1" applyAlignment="1">
      <alignment horizontal="center" vertical="center" wrapText="1"/>
    </xf>
    <xf numFmtId="0" fontId="66" fillId="3" borderId="45" xfId="0" applyFont="1" applyFill="1" applyBorder="1" applyAlignment="1">
      <alignment horizontal="left" vertical="center" wrapText="1"/>
    </xf>
    <xf numFmtId="0" fontId="41" fillId="0" borderId="57" xfId="0" applyFont="1" applyBorder="1" applyAlignment="1">
      <alignment horizontal="left" vertical="top" wrapText="1" readingOrder="1"/>
    </xf>
    <xf numFmtId="0" fontId="69" fillId="0" borderId="57" xfId="0" applyFont="1" applyBorder="1" applyAlignment="1">
      <alignment horizontal="left" vertical="top" wrapText="1" readingOrder="1"/>
    </xf>
    <xf numFmtId="0" fontId="67" fillId="12" borderId="107" xfId="0" applyFont="1" applyFill="1" applyBorder="1" applyAlignment="1">
      <alignment horizontal="center" vertical="center" wrapText="1" readingOrder="1"/>
    </xf>
    <xf numFmtId="0" fontId="8" fillId="0" borderId="52" xfId="0" applyFont="1" applyBorder="1"/>
    <xf numFmtId="0" fontId="36" fillId="10" borderId="103" xfId="0" applyFont="1" applyFill="1" applyBorder="1" applyAlignment="1">
      <alignment horizontal="left" vertical="center"/>
    </xf>
    <xf numFmtId="0" fontId="68" fillId="12" borderId="95" xfId="0" applyFont="1" applyFill="1" applyBorder="1" applyAlignment="1">
      <alignment horizontal="center" vertical="center" wrapText="1" readingOrder="1"/>
    </xf>
    <xf numFmtId="0" fontId="72" fillId="3" borderId="57" xfId="0" applyFont="1" applyFill="1" applyBorder="1" applyAlignment="1">
      <alignment horizontal="right" vertical="center" wrapText="1" readingOrder="1"/>
    </xf>
    <xf numFmtId="0" fontId="27" fillId="0" borderId="26" xfId="0" applyFont="1" applyBorder="1" applyAlignment="1">
      <alignment horizontal="center"/>
    </xf>
    <xf numFmtId="0" fontId="34" fillId="0" borderId="13" xfId="0" applyFont="1" applyBorder="1" applyAlignment="1">
      <alignment horizontal="left" vertical="top" wrapText="1"/>
    </xf>
    <xf numFmtId="0" fontId="0" fillId="7" borderId="5" xfId="0" applyFill="1" applyBorder="1" applyAlignment="1">
      <alignment horizontal="center"/>
    </xf>
    <xf numFmtId="0" fontId="8" fillId="0" borderId="114" xfId="0" applyFont="1" applyBorder="1"/>
    <xf numFmtId="0" fontId="8" fillId="0" borderId="115" xfId="0" applyFont="1" applyBorder="1"/>
    <xf numFmtId="0" fontId="64" fillId="0" borderId="28" xfId="0" applyFont="1" applyBorder="1" applyAlignment="1">
      <alignment horizontal="center"/>
    </xf>
    <xf numFmtId="0" fontId="52" fillId="7" borderId="2" xfId="0" applyFont="1" applyFill="1" applyBorder="1" applyAlignment="1">
      <alignment horizontal="center" vertical="center"/>
    </xf>
    <xf numFmtId="0" fontId="0" fillId="7" borderId="5" xfId="0" applyFill="1" applyBorder="1" applyAlignment="1">
      <alignment horizontal="left" vertical="top"/>
    </xf>
    <xf numFmtId="0" fontId="8" fillId="0" borderId="113" xfId="0" applyFont="1" applyBorder="1"/>
    <xf numFmtId="0" fontId="8" fillId="0" borderId="112" xfId="0" applyFont="1" applyBorder="1"/>
    <xf numFmtId="0" fontId="0" fillId="7" borderId="2" xfId="0" applyFill="1" applyBorder="1" applyAlignment="1">
      <alignment horizontal="left" vertical="top"/>
    </xf>
    <xf numFmtId="164" fontId="78" fillId="7" borderId="2" xfId="0" applyNumberFormat="1" applyFont="1" applyFill="1" applyBorder="1" applyAlignment="1">
      <alignment horizontal="center" vertical="center"/>
    </xf>
    <xf numFmtId="0" fontId="77" fillId="0" borderId="0" xfId="0" applyFont="1" applyAlignment="1">
      <alignment horizontal="center" vertical="center" wrapText="1"/>
    </xf>
    <xf numFmtId="0" fontId="75" fillId="0" borderId="0" xfId="0" applyFont="1" applyAlignment="1">
      <alignment horizontal="right" vertical="center" wrapText="1"/>
    </xf>
    <xf numFmtId="0" fontId="0" fillId="0" borderId="28" xfId="0" applyBorder="1" applyAlignment="1">
      <alignment horizontal="center" vertical="center" wrapText="1"/>
    </xf>
    <xf numFmtId="164" fontId="20" fillId="10" borderId="2" xfId="0" applyNumberFormat="1" applyFont="1" applyFill="1" applyBorder="1" applyAlignment="1">
      <alignment horizontal="center"/>
    </xf>
    <xf numFmtId="164" fontId="18" fillId="10" borderId="2" xfId="0" applyNumberFormat="1" applyFont="1" applyFill="1" applyBorder="1" applyAlignment="1">
      <alignment wrapText="1"/>
    </xf>
    <xf numFmtId="164" fontId="20" fillId="10" borderId="2" xfId="0" applyNumberFormat="1" applyFont="1" applyFill="1" applyBorder="1" applyAlignment="1">
      <alignment horizontal="right"/>
    </xf>
    <xf numFmtId="0" fontId="61" fillId="0" borderId="0" xfId="0" applyFont="1" applyAlignment="1">
      <alignment horizontal="center"/>
    </xf>
    <xf numFmtId="0" fontId="0" fillId="10" borderId="111" xfId="0" applyFill="1" applyBorder="1" applyAlignment="1">
      <alignment horizontal="left" vertical="top" wrapText="1"/>
    </xf>
    <xf numFmtId="0" fontId="8" fillId="0" borderId="99" xfId="0" applyFont="1" applyBorder="1"/>
    <xf numFmtId="164" fontId="52" fillId="7" borderId="2" xfId="0" applyNumberFormat="1" applyFont="1" applyFill="1" applyBorder="1" applyAlignment="1">
      <alignment horizontal="center" vertical="center"/>
    </xf>
    <xf numFmtId="0" fontId="80" fillId="4" borderId="13" xfId="0" applyFont="1" applyFill="1" applyBorder="1" applyAlignment="1">
      <alignment horizontal="left" vertical="center"/>
    </xf>
    <xf numFmtId="0" fontId="8" fillId="0" borderId="116" xfId="0" applyFont="1" applyBorder="1"/>
    <xf numFmtId="0" fontId="36" fillId="8" borderId="2" xfId="0" applyFont="1" applyFill="1" applyBorder="1" applyAlignment="1">
      <alignment horizontal="left"/>
    </xf>
    <xf numFmtId="0" fontId="0" fillId="0" borderId="95" xfId="0" applyBorder="1" applyAlignment="1">
      <alignment horizontal="center" vertical="center"/>
    </xf>
    <xf numFmtId="0" fontId="79" fillId="7" borderId="45" xfId="0" applyFont="1" applyFill="1" applyBorder="1" applyAlignment="1">
      <alignment horizontal="left" vertical="center"/>
    </xf>
    <xf numFmtId="0" fontId="39" fillId="10" borderId="45" xfId="0" applyFont="1" applyFill="1" applyBorder="1" applyAlignment="1">
      <alignment horizontal="left" vertical="center"/>
    </xf>
    <xf numFmtId="0" fontId="79" fillId="7" borderId="45" xfId="0" applyFont="1" applyFill="1" applyBorder="1" applyAlignment="1">
      <alignment horizontal="left" vertical="center" wrapText="1"/>
    </xf>
    <xf numFmtId="0" fontId="36" fillId="7" borderId="2" xfId="0" applyFont="1" applyFill="1" applyBorder="1" applyAlignment="1">
      <alignment horizontal="center" vertical="center"/>
    </xf>
    <xf numFmtId="0" fontId="52" fillId="10" borderId="45" xfId="0" applyFont="1" applyFill="1" applyBorder="1" applyAlignment="1">
      <alignment horizontal="center" vertical="center"/>
    </xf>
    <xf numFmtId="0" fontId="30" fillId="10" borderId="2" xfId="0" applyFont="1" applyFill="1" applyBorder="1" applyAlignment="1">
      <alignment horizontal="left"/>
    </xf>
    <xf numFmtId="0" fontId="33" fillId="10" borderId="2" xfId="0" applyFont="1" applyFill="1" applyBorder="1" applyAlignment="1">
      <alignment horizontal="left"/>
    </xf>
    <xf numFmtId="168" fontId="88" fillId="7" borderId="45" xfId="0" applyNumberFormat="1" applyFont="1" applyFill="1" applyBorder="1" applyAlignment="1">
      <alignment horizontal="center" vertical="center" wrapText="1"/>
    </xf>
    <xf numFmtId="0" fontId="0" fillId="7" borderId="45" xfId="0" applyFill="1" applyBorder="1" applyAlignment="1">
      <alignment horizontal="center"/>
    </xf>
    <xf numFmtId="0" fontId="0" fillId="0" borderId="45" xfId="0" applyBorder="1" applyAlignment="1">
      <alignment horizontal="center"/>
    </xf>
    <xf numFmtId="0" fontId="84" fillId="7" borderId="45" xfId="0" applyFont="1" applyFill="1" applyBorder="1" applyAlignment="1">
      <alignment horizontal="center" vertical="center" wrapText="1"/>
    </xf>
    <xf numFmtId="0" fontId="87" fillId="16" borderId="45" xfId="0" applyFont="1" applyFill="1" applyBorder="1" applyAlignment="1">
      <alignment horizontal="right" vertical="center" wrapText="1"/>
    </xf>
    <xf numFmtId="0" fontId="37" fillId="0" borderId="0" xfId="0" applyFont="1" applyAlignment="1">
      <alignment horizontal="center"/>
    </xf>
    <xf numFmtId="0" fontId="84" fillId="16" borderId="45" xfId="0" applyFont="1" applyFill="1" applyBorder="1" applyAlignment="1">
      <alignment horizontal="center" vertical="center" wrapText="1"/>
    </xf>
    <xf numFmtId="0" fontId="8" fillId="0" borderId="118" xfId="0" applyFont="1" applyBorder="1"/>
    <xf numFmtId="0" fontId="32" fillId="10" borderId="2" xfId="0" applyFont="1" applyFill="1" applyBorder="1" applyAlignment="1">
      <alignment horizontal="right"/>
    </xf>
    <xf numFmtId="0" fontId="81" fillId="3" borderId="45" xfId="0" applyFont="1" applyFill="1" applyBorder="1" applyAlignment="1">
      <alignment horizontal="center" vertical="center"/>
    </xf>
    <xf numFmtId="0" fontId="82" fillId="4" borderId="2" xfId="0" applyFont="1" applyFill="1" applyBorder="1" applyAlignment="1">
      <alignment horizontal="left"/>
    </xf>
    <xf numFmtId="49" fontId="86" fillId="7" borderId="45" xfId="0" applyNumberFormat="1" applyFont="1" applyFill="1" applyBorder="1" applyAlignment="1">
      <alignment horizontal="center" vertical="center" wrapText="1"/>
    </xf>
    <xf numFmtId="168" fontId="86" fillId="7" borderId="45" xfId="0" applyNumberFormat="1" applyFont="1" applyFill="1" applyBorder="1" applyAlignment="1">
      <alignment horizontal="center" vertical="center" wrapText="1"/>
    </xf>
  </cellXfs>
  <cellStyles count="1">
    <cellStyle name="Normal" xfId="0" builtinId="0"/>
  </cellStyles>
  <dxfs count="68">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color rgb="FF22FEBA"/>
      </font>
      <fill>
        <patternFill patternType="solid">
          <fgColor rgb="FFFF0000"/>
          <bgColor rgb="FFFF0000"/>
        </patternFill>
      </fill>
    </dxf>
    <dxf>
      <font>
        <b/>
        <color rgb="FFFFFFFF"/>
      </font>
      <fill>
        <patternFill patternType="solid">
          <fgColor rgb="FF00B050"/>
          <bgColor rgb="FF00B050"/>
        </patternFill>
      </fill>
    </dxf>
    <dxf>
      <font>
        <b/>
      </font>
      <fill>
        <patternFill patternType="solid">
          <fgColor rgb="FFA8D08D"/>
          <bgColor rgb="FFA8D08D"/>
        </patternFill>
      </fill>
    </dxf>
    <dxf>
      <font>
        <b/>
        <color rgb="FF002060"/>
      </font>
      <fill>
        <patternFill patternType="solid">
          <fgColor rgb="FFCCFFCC"/>
          <bgColor rgb="FFCCFFCC"/>
        </patternFill>
      </fill>
    </dxf>
    <dxf>
      <font>
        <b/>
        <color rgb="FF1F3864"/>
      </font>
      <fill>
        <patternFill patternType="solid">
          <fgColor rgb="FFFFD965"/>
          <bgColor rgb="FFFFD965"/>
        </patternFill>
      </fill>
    </dxf>
    <dxf>
      <font>
        <b/>
        <color rgb="FFFFFFFF"/>
      </font>
      <fill>
        <patternFill patternType="solid">
          <fgColor rgb="FFC00000"/>
          <bgColor rgb="FFC00000"/>
        </patternFill>
      </fill>
    </dxf>
    <dxf>
      <font>
        <b/>
        <color rgb="FFFFFF00"/>
      </font>
      <fill>
        <patternFill patternType="solid">
          <fgColor rgb="FFFF0000"/>
          <bgColor rgb="FFFF0000"/>
        </patternFill>
      </fill>
    </dxf>
    <dxf>
      <font>
        <color rgb="FF24FCB4"/>
      </font>
      <fill>
        <patternFill patternType="none"/>
      </fill>
    </dxf>
    <dxf>
      <font>
        <b/>
        <color rgb="FFFFFFFF"/>
      </font>
      <fill>
        <patternFill patternType="solid">
          <fgColor rgb="FFFF0000"/>
          <bgColor rgb="FFFF0000"/>
        </patternFill>
      </fill>
    </dxf>
    <dxf>
      <font>
        <b/>
        <color rgb="FFFFFFFF"/>
      </font>
      <fill>
        <patternFill patternType="solid">
          <fgColor rgb="FFC00000"/>
          <bgColor rgb="FFC00000"/>
        </patternFill>
      </fill>
    </dxf>
    <dxf>
      <fill>
        <patternFill patternType="solid">
          <fgColor rgb="FFFF66FF"/>
          <bgColor rgb="FFFF66FF"/>
        </patternFill>
      </fill>
    </dxf>
    <dxf>
      <fill>
        <patternFill patternType="solid">
          <fgColor rgb="FFFF3399"/>
          <bgColor rgb="FFFF3399"/>
        </patternFill>
      </fill>
    </dxf>
    <dxf>
      <font>
        <b/>
      </font>
      <fill>
        <patternFill patternType="solid">
          <fgColor rgb="FFFFC000"/>
          <bgColor rgb="FFFFC000"/>
        </patternFill>
      </fill>
    </dxf>
    <dxf>
      <font>
        <b/>
      </font>
      <fill>
        <patternFill patternType="solid">
          <fgColor rgb="FFFFFF00"/>
          <bgColor rgb="FFFFFF00"/>
        </patternFill>
      </fill>
    </dxf>
    <dxf>
      <font>
        <b/>
      </font>
      <fill>
        <patternFill patternType="solid">
          <fgColor rgb="FF92D050"/>
          <bgColor rgb="FF92D050"/>
        </patternFill>
      </fill>
    </dxf>
    <dxf>
      <font>
        <b/>
        <color rgb="FFFFFFFF"/>
      </font>
      <fill>
        <patternFill patternType="solid">
          <fgColor rgb="FF00B050"/>
          <bgColor rgb="FF00B050"/>
        </patternFill>
      </fill>
    </dxf>
    <dxf>
      <font>
        <b/>
        <color rgb="FFFFFFFF"/>
      </font>
      <fill>
        <patternFill patternType="solid">
          <fgColor rgb="FFFF0000"/>
          <bgColor rgb="FFFF0000"/>
        </patternFill>
      </fill>
    </dxf>
    <dxf>
      <font>
        <b/>
      </font>
      <fill>
        <patternFill patternType="solid">
          <fgColor rgb="FFFFFF00"/>
          <bgColor rgb="FFFFFF00"/>
        </patternFill>
      </fill>
    </dxf>
    <dxf>
      <font>
        <b/>
      </font>
      <fill>
        <patternFill patternType="solid">
          <fgColor rgb="FF26FAA9"/>
          <bgColor rgb="FF26FAA9"/>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font>
      <fill>
        <patternFill patternType="solid">
          <fgColor rgb="FF26FAA9"/>
          <bgColor rgb="FF26FAA9"/>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font>
      <fill>
        <patternFill patternType="solid">
          <fgColor rgb="FF26FAA9"/>
          <bgColor rgb="FF26FAA9"/>
        </patternFill>
      </fill>
    </dxf>
    <dxf>
      <font>
        <b/>
      </font>
      <fill>
        <patternFill patternType="solid">
          <fgColor rgb="FFFFFF00"/>
          <bgColor rgb="FFFFFF00"/>
        </patternFill>
      </fill>
    </dxf>
    <dxf>
      <font>
        <b/>
        <color rgb="FFFFFFFF"/>
      </font>
      <fill>
        <patternFill patternType="solid">
          <fgColor rgb="FFFF0000"/>
          <bgColor rgb="FFFF0000"/>
        </patternFill>
      </fill>
    </dxf>
    <dxf>
      <font>
        <b/>
      </font>
      <fill>
        <patternFill patternType="solid">
          <fgColor rgb="FF26FAA9"/>
          <bgColor rgb="FF26FAA9"/>
        </patternFill>
      </fill>
    </dxf>
    <dxf>
      <font>
        <b/>
      </font>
      <fill>
        <patternFill patternType="solid">
          <fgColor rgb="FFFFFF00"/>
          <bgColor rgb="FFFFFF00"/>
        </patternFill>
      </fill>
    </dxf>
    <dxf>
      <font>
        <b/>
        <color rgb="FFFFFFFF"/>
      </font>
      <fill>
        <patternFill patternType="solid">
          <fgColor rgb="FFFF0000"/>
          <bgColor rgb="FFFF0000"/>
        </patternFill>
      </fill>
    </dxf>
    <dxf>
      <font>
        <b/>
      </font>
      <fill>
        <patternFill patternType="solid">
          <fgColor rgb="FFFFFF00"/>
          <bgColor rgb="FFFFFF00"/>
        </patternFill>
      </fill>
    </dxf>
    <dxf>
      <font>
        <b/>
      </font>
      <fill>
        <patternFill patternType="solid">
          <fgColor rgb="FF26FAA9"/>
          <bgColor rgb="FF26FAA9"/>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font>
      <fill>
        <patternFill patternType="solid">
          <fgColor rgb="FF26FAA9"/>
          <bgColor rgb="FF26FAA9"/>
        </patternFill>
      </fill>
    </dxf>
    <dxf>
      <font>
        <b/>
      </font>
      <fill>
        <patternFill patternType="solid">
          <fgColor rgb="FFFFFF00"/>
          <bgColor rgb="FFFFFF00"/>
        </patternFill>
      </fill>
    </dxf>
    <dxf>
      <font>
        <b/>
        <color rgb="FFFFFFFF"/>
      </font>
      <fill>
        <patternFill patternType="solid">
          <fgColor rgb="FFFF0000"/>
          <bgColor rgb="FFFF0000"/>
        </patternFill>
      </fill>
    </dxf>
    <dxf>
      <font>
        <b/>
      </font>
      <fill>
        <patternFill patternType="solid">
          <fgColor rgb="FF26FAA9"/>
          <bgColor rgb="FF26FAA9"/>
        </patternFill>
      </fill>
    </dxf>
    <dxf>
      <font>
        <b/>
      </font>
      <fill>
        <patternFill patternType="solid">
          <fgColor rgb="FFFFFF00"/>
          <bgColor rgb="FFFFFF00"/>
        </patternFill>
      </fill>
    </dxf>
    <dxf>
      <font>
        <b/>
        <color rgb="FFFFFFFF"/>
      </font>
      <fill>
        <patternFill patternType="solid">
          <fgColor rgb="FFFF0000"/>
          <bgColor rgb="FFFF0000"/>
        </patternFill>
      </fill>
    </dxf>
    <dxf>
      <font>
        <b/>
      </font>
      <fill>
        <patternFill patternType="solid">
          <fgColor rgb="FF26FAA9"/>
          <bgColor rgb="FF26FAA9"/>
        </patternFill>
      </fill>
    </dxf>
    <dxf>
      <font>
        <b/>
      </font>
      <fill>
        <patternFill patternType="solid">
          <fgColor rgb="FFFFFF00"/>
          <bgColor rgb="FFFFFF00"/>
        </patternFill>
      </fill>
    </dxf>
    <dxf>
      <font>
        <b/>
        <color rgb="FFFFFFFF"/>
      </font>
      <fill>
        <patternFill patternType="solid">
          <fgColor rgb="FFFF0000"/>
          <bgColor rgb="FFFF0000"/>
        </patternFill>
      </fill>
    </dxf>
    <dxf>
      <font>
        <b/>
        <color rgb="FFFFFFFF"/>
      </font>
      <fill>
        <patternFill patternType="solid">
          <fgColor rgb="FFFF0000"/>
          <bgColor rgb="FFFF0000"/>
        </patternFill>
      </fill>
    </dxf>
    <dxf>
      <font>
        <b/>
        <color rgb="FFFFFFFF"/>
      </font>
      <fill>
        <patternFill patternType="solid">
          <fgColor rgb="FF00B050"/>
          <bgColor rgb="FF00B050"/>
        </patternFill>
      </fill>
    </dxf>
    <dxf>
      <font>
        <b/>
        <color rgb="FFE2EFD9"/>
      </font>
      <fill>
        <patternFill patternType="solid">
          <fgColor rgb="FFFF0000"/>
          <bgColor rgb="FFFF0000"/>
        </patternFill>
      </fill>
    </dxf>
    <dxf>
      <font>
        <b/>
        <color rgb="FFE2EFD9"/>
      </font>
      <fill>
        <patternFill patternType="solid">
          <fgColor rgb="FFFF0000"/>
          <bgColor rgb="FFFF0000"/>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lvl="0">
              <a:defRPr sz="1600" b="1" i="0">
                <a:solidFill>
                  <a:srgbClr val="000000"/>
                </a:solidFill>
                <a:latin typeface="Calibri"/>
              </a:defRPr>
            </a:pPr>
            <a:r>
              <a:rPr lang="fr-FR"/>
              <a:t>Cotation du risque lié à l'activité</a:t>
            </a:r>
          </a:p>
        </c:rich>
      </c:tx>
      <c:overlay val="0"/>
    </c:title>
    <c:autoTitleDeleted val="0"/>
    <c:plotArea>
      <c:layout/>
      <c:radarChart>
        <c:radarStyle val="marker"/>
        <c:varyColors val="1"/>
        <c:ser>
          <c:idx val="0"/>
          <c:order val="0"/>
          <c:tx>
            <c:strRef>
              <c:f>PARAMETRAGE!$C$12</c:f>
              <c:strCache>
                <c:ptCount val="1"/>
                <c:pt idx="0">
                  <c:v> Cote de risque (1 à 6)</c:v>
                </c:pt>
              </c:strCache>
            </c:strRef>
          </c:tx>
          <c:spPr>
            <a:ln w="19050" cmpd="sng">
              <a:solidFill>
                <a:srgbClr val="FF0000"/>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PARAMETRAGE!$C$13:$C$20</c:f>
              <c:numCache>
                <c:formatCode>General</c:formatCode>
                <c:ptCount val="8"/>
                <c:pt idx="0">
                  <c:v>1</c:v>
                </c:pt>
                <c:pt idx="1">
                  <c:v>4</c:v>
                </c:pt>
                <c:pt idx="2">
                  <c:v>2</c:v>
                </c:pt>
                <c:pt idx="3">
                  <c:v>3</c:v>
                </c:pt>
                <c:pt idx="4">
                  <c:v>3</c:v>
                </c:pt>
                <c:pt idx="5">
                  <c:v>6</c:v>
                </c:pt>
                <c:pt idx="6">
                  <c:v>2</c:v>
                </c:pt>
                <c:pt idx="7">
                  <c:v>3</c:v>
                </c:pt>
              </c:numCache>
            </c:numRef>
          </c:val>
          <c:extLst>
            <c:ext xmlns:c16="http://schemas.microsoft.com/office/drawing/2014/chart" uri="{C3380CC4-5D6E-409C-BE32-E72D297353CC}">
              <c16:uniqueId val="{00000000-B9DE-43B3-9243-8ECF5D19BC30}"/>
            </c:ext>
          </c:extLst>
        </c:ser>
        <c:ser>
          <c:idx val="1"/>
          <c:order val="1"/>
          <c:tx>
            <c:strRef>
              <c:f>PARAMETRAGE!$D$12</c:f>
              <c:strCache>
                <c:ptCount val="1"/>
                <c:pt idx="0">
                  <c:v>Zone de risque maximun (proche de 6)</c:v>
                </c:pt>
              </c:strCache>
            </c:strRef>
          </c:tx>
          <c:spPr>
            <a:ln w="19050" cmpd="sng">
              <a:solidFill>
                <a:srgbClr val="FFFFFF"/>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PARAMETRAGE!$D$13:$D$20</c:f>
              <c:numCache>
                <c:formatCode>General</c:formatCode>
                <c:ptCount val="8"/>
                <c:pt idx="0">
                  <c:v>6</c:v>
                </c:pt>
                <c:pt idx="1">
                  <c:v>6</c:v>
                </c:pt>
                <c:pt idx="2">
                  <c:v>6</c:v>
                </c:pt>
                <c:pt idx="3">
                  <c:v>6</c:v>
                </c:pt>
                <c:pt idx="4">
                  <c:v>6</c:v>
                </c:pt>
                <c:pt idx="5">
                  <c:v>6</c:v>
                </c:pt>
                <c:pt idx="6">
                  <c:v>6</c:v>
                </c:pt>
                <c:pt idx="7">
                  <c:v>6</c:v>
                </c:pt>
              </c:numCache>
            </c:numRef>
          </c:val>
          <c:extLst>
            <c:ext xmlns:c16="http://schemas.microsoft.com/office/drawing/2014/chart" uri="{C3380CC4-5D6E-409C-BE32-E72D297353CC}">
              <c16:uniqueId val="{00000001-B9DE-43B3-9243-8ECF5D19BC30}"/>
            </c:ext>
          </c:extLst>
        </c:ser>
        <c:ser>
          <c:idx val="2"/>
          <c:order val="2"/>
          <c:tx>
            <c:strRef>
              <c:f>PARAMETRAGE!$E$12</c:f>
              <c:strCache>
                <c:ptCount val="1"/>
                <c:pt idx="0">
                  <c:v>Zone de risque maximun (proche de 6)</c:v>
                </c:pt>
              </c:strCache>
            </c:strRef>
          </c:tx>
          <c:spPr>
            <a:ln w="19050" cmpd="sng">
              <a:solidFill>
                <a:srgbClr val="FFFFFF"/>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PARAMETRAGE!$E$13:$E$20</c:f>
              <c:numCache>
                <c:formatCode>General</c:formatCode>
                <c:ptCount val="8"/>
                <c:pt idx="0">
                  <c:v>5</c:v>
                </c:pt>
                <c:pt idx="1">
                  <c:v>5</c:v>
                </c:pt>
                <c:pt idx="2">
                  <c:v>5</c:v>
                </c:pt>
                <c:pt idx="3">
                  <c:v>5</c:v>
                </c:pt>
                <c:pt idx="4">
                  <c:v>5</c:v>
                </c:pt>
                <c:pt idx="5">
                  <c:v>5</c:v>
                </c:pt>
                <c:pt idx="6">
                  <c:v>5</c:v>
                </c:pt>
                <c:pt idx="7">
                  <c:v>5</c:v>
                </c:pt>
              </c:numCache>
            </c:numRef>
          </c:val>
          <c:extLst>
            <c:ext xmlns:c16="http://schemas.microsoft.com/office/drawing/2014/chart" uri="{C3380CC4-5D6E-409C-BE32-E72D297353CC}">
              <c16:uniqueId val="{00000002-B9DE-43B3-9243-8ECF5D19BC30}"/>
            </c:ext>
          </c:extLst>
        </c:ser>
        <c:ser>
          <c:idx val="3"/>
          <c:order val="3"/>
          <c:tx>
            <c:strRef>
              <c:f>PARAMETRAGE!$F$12</c:f>
              <c:strCache>
                <c:ptCount val="1"/>
                <c:pt idx="0">
                  <c:v>Zone de risque maximun (proche de 6)</c:v>
                </c:pt>
              </c:strCache>
            </c:strRef>
          </c:tx>
          <c:spPr>
            <a:ln w="19050" cmpd="sng">
              <a:solidFill>
                <a:srgbClr val="FFFFFF"/>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PARAMETRAGE!$F$13:$F$20</c:f>
              <c:numCache>
                <c:formatCode>General</c:formatCode>
                <c:ptCount val="8"/>
                <c:pt idx="0">
                  <c:v>4</c:v>
                </c:pt>
                <c:pt idx="1">
                  <c:v>4</c:v>
                </c:pt>
                <c:pt idx="2">
                  <c:v>4</c:v>
                </c:pt>
                <c:pt idx="3">
                  <c:v>4</c:v>
                </c:pt>
                <c:pt idx="4">
                  <c:v>4</c:v>
                </c:pt>
                <c:pt idx="5">
                  <c:v>4</c:v>
                </c:pt>
                <c:pt idx="6">
                  <c:v>4</c:v>
                </c:pt>
                <c:pt idx="7">
                  <c:v>4</c:v>
                </c:pt>
              </c:numCache>
            </c:numRef>
          </c:val>
          <c:extLst>
            <c:ext xmlns:c16="http://schemas.microsoft.com/office/drawing/2014/chart" uri="{C3380CC4-5D6E-409C-BE32-E72D297353CC}">
              <c16:uniqueId val="{00000003-B9DE-43B3-9243-8ECF5D19BC30}"/>
            </c:ext>
          </c:extLst>
        </c:ser>
        <c:ser>
          <c:idx val="4"/>
          <c:order val="4"/>
          <c:tx>
            <c:strRef>
              <c:f>PARAMETRAGE!$G$12</c:f>
              <c:strCache>
                <c:ptCount val="1"/>
                <c:pt idx="0">
                  <c:v>Zone de risque maximun (proche de 6)</c:v>
                </c:pt>
              </c:strCache>
            </c:strRef>
          </c:tx>
          <c:spPr>
            <a:ln w="19050" cmpd="sng">
              <a:solidFill>
                <a:srgbClr val="FFFFFF"/>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PARAMETRAGE!$G$13:$G$20</c:f>
              <c:numCache>
                <c:formatCode>General</c:formatCode>
                <c:ptCount val="8"/>
                <c:pt idx="0">
                  <c:v>3</c:v>
                </c:pt>
                <c:pt idx="1">
                  <c:v>3</c:v>
                </c:pt>
                <c:pt idx="2">
                  <c:v>3</c:v>
                </c:pt>
                <c:pt idx="3">
                  <c:v>3</c:v>
                </c:pt>
                <c:pt idx="4">
                  <c:v>3</c:v>
                </c:pt>
                <c:pt idx="5">
                  <c:v>3</c:v>
                </c:pt>
                <c:pt idx="6">
                  <c:v>3</c:v>
                </c:pt>
                <c:pt idx="7">
                  <c:v>3</c:v>
                </c:pt>
              </c:numCache>
            </c:numRef>
          </c:val>
          <c:extLst>
            <c:ext xmlns:c16="http://schemas.microsoft.com/office/drawing/2014/chart" uri="{C3380CC4-5D6E-409C-BE32-E72D297353CC}">
              <c16:uniqueId val="{00000004-B9DE-43B3-9243-8ECF5D19BC30}"/>
            </c:ext>
          </c:extLst>
        </c:ser>
        <c:ser>
          <c:idx val="5"/>
          <c:order val="5"/>
          <c:tx>
            <c:strRef>
              <c:f>PARAMETRAGE!$H$12</c:f>
              <c:strCache>
                <c:ptCount val="1"/>
                <c:pt idx="0">
                  <c:v>Zone de risque maximun (proche de 6)</c:v>
                </c:pt>
              </c:strCache>
            </c:strRef>
          </c:tx>
          <c:spPr>
            <a:ln w="19050" cmpd="sng">
              <a:solidFill>
                <a:srgbClr val="70AD47"/>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PARAMETRAGE!$H$13:$H$20</c:f>
              <c:numCache>
                <c:formatCode>General</c:formatCode>
                <c:ptCount val="8"/>
                <c:pt idx="0">
                  <c:v>2</c:v>
                </c:pt>
                <c:pt idx="1">
                  <c:v>2</c:v>
                </c:pt>
                <c:pt idx="2">
                  <c:v>2</c:v>
                </c:pt>
                <c:pt idx="3">
                  <c:v>2</c:v>
                </c:pt>
                <c:pt idx="4">
                  <c:v>2</c:v>
                </c:pt>
                <c:pt idx="5">
                  <c:v>2</c:v>
                </c:pt>
                <c:pt idx="6">
                  <c:v>2</c:v>
                </c:pt>
                <c:pt idx="7">
                  <c:v>2</c:v>
                </c:pt>
              </c:numCache>
            </c:numRef>
          </c:val>
          <c:extLst>
            <c:ext xmlns:c16="http://schemas.microsoft.com/office/drawing/2014/chart" uri="{C3380CC4-5D6E-409C-BE32-E72D297353CC}">
              <c16:uniqueId val="{00000005-B9DE-43B3-9243-8ECF5D19BC30}"/>
            </c:ext>
          </c:extLst>
        </c:ser>
        <c:ser>
          <c:idx val="6"/>
          <c:order val="6"/>
          <c:tx>
            <c:strRef>
              <c:f>PARAMETRAGE!$I$12</c:f>
              <c:strCache>
                <c:ptCount val="1"/>
                <c:pt idx="0">
                  <c:v>Zone de risque maximun (proche de 6)</c:v>
                </c:pt>
              </c:strCache>
            </c:strRef>
          </c:tx>
          <c:spPr>
            <a:ln w="19050" cmpd="sng">
              <a:solidFill>
                <a:srgbClr val="375D80"/>
              </a:solidFill>
              <a:prstDash val="solid"/>
            </a:ln>
          </c:spPr>
          <c:marker>
            <c:symbol val="none"/>
          </c:marker>
          <c:cat>
            <c:strRef>
              <c:f>PARAMETRAGE!$B$13:$B$20</c:f>
              <c:strCache>
                <c:ptCount val="8"/>
                <c:pt idx="0">
                  <c:v>A. Direction 
Compétences, expériences, qualité morale, stabilité sociale..  </c:v>
                </c:pt>
                <c:pt idx="1">
                  <c:v>B. Historique de crédits et scoring de remboursement</c:v>
                </c:pt>
                <c:pt idx="2">
                  <c:v>C. Accès aux intrants</c:v>
                </c:pt>
                <c:pt idx="3">
                  <c:v>D. Accès et position dans le marché</c:v>
                </c:pt>
                <c:pt idx="4">
                  <c:v>E. Qualité des actifs de l'entreprise/exploitation</c:v>
                </c:pt>
                <c:pt idx="5">
                  <c:v>F. Production et Exploitation</c:v>
                </c:pt>
                <c:pt idx="6">
                  <c:v>G. Environnement</c:v>
                </c:pt>
                <c:pt idx="7">
                  <c:v>H. Capacité de remboursement, Solvabilité et niveau d'endettement</c:v>
                </c:pt>
              </c:strCache>
            </c:strRef>
          </c:cat>
          <c:val>
            <c:numRef>
              <c:f>PARAMETRAGE!$I$13:$I$20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6-B9DE-43B3-9243-8ECF5D19BC30}"/>
            </c:ext>
          </c:extLst>
        </c:ser>
        <c:dLbls>
          <c:showLegendKey val="0"/>
          <c:showVal val="0"/>
          <c:showCatName val="0"/>
          <c:showSerName val="0"/>
          <c:showPercent val="0"/>
          <c:showBubbleSize val="0"/>
        </c:dLbls>
        <c:axId val="1557053351"/>
        <c:axId val="1329705882"/>
      </c:radarChart>
      <c:catAx>
        <c:axId val="1557053351"/>
        <c:scaling>
          <c:orientation val="minMax"/>
        </c:scaling>
        <c:delete val="0"/>
        <c:axPos val="b"/>
        <c:numFmt formatCode="General" sourceLinked="1"/>
        <c:majorTickMark val="cross"/>
        <c:minorTickMark val="cross"/>
        <c:tickLblPos val="nextTo"/>
        <c:txPr>
          <a:bodyPr/>
          <a:lstStyle/>
          <a:p>
            <a:pPr lvl="0">
              <a:defRPr sz="900" b="0" i="0">
                <a:solidFill>
                  <a:srgbClr val="000000"/>
                </a:solidFill>
                <a:latin typeface="Calibri"/>
              </a:defRPr>
            </a:pPr>
            <a:endParaRPr lang="fr-FR"/>
          </a:p>
        </c:txPr>
        <c:crossAx val="1329705882"/>
        <c:crosses val="autoZero"/>
        <c:auto val="1"/>
        <c:lblAlgn val="ctr"/>
        <c:lblOffset val="100"/>
        <c:noMultiLvlLbl val="1"/>
      </c:catAx>
      <c:valAx>
        <c:axId val="1329705882"/>
        <c:scaling>
          <c:orientation val="minMax"/>
        </c:scaling>
        <c:delete val="0"/>
        <c:axPos val="l"/>
        <c:majorGridlines>
          <c:spPr>
            <a:ln>
              <a:solidFill>
                <a:srgbClr val="B7B7B7"/>
              </a:solidFill>
            </a:ln>
          </c:spPr>
        </c:majorGridlines>
        <c:minorGridlines>
          <c:spPr>
            <a:ln>
              <a:solidFill>
                <a:srgbClr val="F2F2F2"/>
              </a:solidFill>
            </a:ln>
          </c:spPr>
        </c:minorGridlines>
        <c:numFmt formatCode="General" sourceLinked="1"/>
        <c:majorTickMark val="cross"/>
        <c:minorTickMark val="cross"/>
        <c:tickLblPos val="nextTo"/>
        <c:spPr>
          <a:ln w="47625">
            <a:noFill/>
          </a:ln>
        </c:spPr>
        <c:txPr>
          <a:bodyPr/>
          <a:lstStyle/>
          <a:p>
            <a:pPr lvl="0">
              <a:defRPr sz="900" b="0" i="0">
                <a:solidFill>
                  <a:srgbClr val="808080"/>
                </a:solidFill>
                <a:latin typeface="Calibri"/>
              </a:defRPr>
            </a:pPr>
            <a:endParaRPr lang="fr-FR"/>
          </a:p>
        </c:txPr>
        <c:crossAx val="1557053351"/>
        <c:crosses val="autoZero"/>
        <c:crossBetween val="between"/>
      </c:valAx>
      <c:spPr>
        <a:solidFill>
          <a:srgbClr val="FFFFFF"/>
        </a:solidFill>
      </c:spPr>
    </c:plotArea>
    <c:legend>
      <c:legendPos val="t"/>
      <c:overlay val="0"/>
      <c:txPr>
        <a:bodyPr/>
        <a:lstStyle/>
        <a:p>
          <a:pPr lvl="0">
            <a:defRPr sz="1600">
              <a:solidFill>
                <a:srgbClr val="FF0000"/>
              </a:solidFill>
              <a:latin typeface="Calibri"/>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1266825</xdr:colOff>
      <xdr:row>33</xdr:row>
      <xdr:rowOff>9525</xdr:rowOff>
    </xdr:from>
    <xdr:ext cx="2924175" cy="9239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28</xdr:col>
      <xdr:colOff>19050</xdr:colOff>
      <xdr:row>38</xdr:row>
      <xdr:rowOff>104775</xdr:rowOff>
    </xdr:from>
    <xdr:ext cx="180975" cy="209550"/>
    <xdr:cxnSp macro="">
      <xdr:nvCxnSpPr>
        <xdr:cNvPr id="3" name="Connecteur en arc 2">
          <a:extLst>
            <a:ext uri="{FF2B5EF4-FFF2-40B4-BE49-F238E27FC236}">
              <a16:creationId xmlns:a16="http://schemas.microsoft.com/office/drawing/2014/main" id="{00000000-0008-0000-0400-000003000000}"/>
            </a:ext>
          </a:extLst>
        </xdr:cNvPr>
        <xdr:cNvCxnSpPr/>
      </xdr:nvCxnSpPr>
      <xdr:spPr>
        <a:xfrm rot="16200000" flipH="1">
          <a:off x="8077200" y="7480300"/>
          <a:ext cx="222250" cy="184150"/>
        </a:xfrm>
        <a:prstGeom prst="curvedConnector3">
          <a:avLst>
            <a:gd name="adj1" fmla="val 1429"/>
          </a:avLst>
        </a:prstGeom>
        <a:ln w="38100">
          <a:solidFill>
            <a:schemeClr val="accent6">
              <a:lumMod val="75000"/>
            </a:schemeClr>
          </a:solidFill>
          <a:prstDash val="solid"/>
          <a:miter lim="800000"/>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0</xdr:colOff>
      <xdr:row>1</xdr:row>
      <xdr:rowOff>209550</xdr:rowOff>
    </xdr:from>
    <xdr:ext cx="457200" cy="228600"/>
    <xdr:sp macro="" textlink="">
      <xdr:nvSpPr>
        <xdr:cNvPr id="15361" name="CommandButton1" hidden="1">
          <a:extLst>
            <a:ext uri="{FF2B5EF4-FFF2-40B4-BE49-F238E27FC236}">
              <a16:creationId xmlns:a16="http://schemas.microsoft.com/office/drawing/2014/main" id="{00000000-0008-0000-0600-0000013C0000}"/>
            </a:ext>
          </a:extLst>
        </xdr:cNvPr>
        <xdr:cNvSpPr/>
      </xdr:nvSpPr>
      <xdr:spPr bwMode="auto">
        <a:xfrm>
          <a:off x="0" y="0"/>
          <a:ext cx="0" cy="0"/>
        </a:xfrm>
        <a:prstGeom prst="rect">
          <a:avLst/>
        </a:prstGeom>
        <a:noFill/>
        <a:ln>
          <a:noFill/>
        </a:ln>
      </xdr:spPr>
    </xdr:sp>
    <xdr:clientData fLocksWithSheet="0"/>
  </xdr:oneCellAnchor>
  <xdr:oneCellAnchor>
    <xdr:from>
      <xdr:col>15</xdr:col>
      <xdr:colOff>0</xdr:colOff>
      <xdr:row>4</xdr:row>
      <xdr:rowOff>76200</xdr:rowOff>
    </xdr:from>
    <xdr:ext cx="447675" cy="342900"/>
    <xdr:sp macro="" textlink="">
      <xdr:nvSpPr>
        <xdr:cNvPr id="15362" name="CommandButton2" hidden="1">
          <a:extLst>
            <a:ext uri="{FF2B5EF4-FFF2-40B4-BE49-F238E27FC236}">
              <a16:creationId xmlns:a16="http://schemas.microsoft.com/office/drawing/2014/main" id="{00000000-0008-0000-0600-0000023C0000}"/>
            </a:ext>
          </a:extLst>
        </xdr:cNvPr>
        <xdr:cNvSpPr/>
      </xdr:nvSpPr>
      <xdr:spPr bwMode="auto">
        <a:xfrm>
          <a:off x="0" y="0"/>
          <a:ext cx="0" cy="0"/>
        </a:xfrm>
        <a:prstGeom prst="rect">
          <a:avLst/>
        </a:prstGeom>
        <a:noFill/>
        <a:ln>
          <a:noFill/>
        </a:ln>
      </xdr:spPr>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95250</xdr:colOff>
      <xdr:row>8</xdr:row>
      <xdr:rowOff>0</xdr:rowOff>
    </xdr:from>
    <xdr:ext cx="457200" cy="238125"/>
    <xdr:sp macro="" textlink="">
      <xdr:nvSpPr>
        <xdr:cNvPr id="13313" name="CommandButton1" hidden="1">
          <a:extLst>
            <a:ext uri="{FF2B5EF4-FFF2-40B4-BE49-F238E27FC236}">
              <a16:creationId xmlns:a16="http://schemas.microsoft.com/office/drawing/2014/main" id="{00000000-0008-0000-0700-000001340000}"/>
            </a:ext>
          </a:extLst>
        </xdr:cNvPr>
        <xdr:cNvSpPr/>
      </xdr:nvSpPr>
      <xdr:spPr bwMode="auto">
        <a:xfrm>
          <a:off x="0" y="0"/>
          <a:ext cx="0" cy="0"/>
        </a:xfrm>
        <a:prstGeom prst="rect">
          <a:avLst/>
        </a:prstGeom>
        <a:noFill/>
        <a:ln>
          <a:noFill/>
        </a:ln>
      </xdr:spPr>
    </xdr:sp>
    <xdr:clientData fLocksWithSheet="0"/>
  </xdr:oneCellAnchor>
  <xdr:oneCellAnchor>
    <xdr:from>
      <xdr:col>10</xdr:col>
      <xdr:colOff>95250</xdr:colOff>
      <xdr:row>8</xdr:row>
      <xdr:rowOff>0</xdr:rowOff>
    </xdr:from>
    <xdr:ext cx="457200" cy="342900"/>
    <xdr:sp macro="" textlink="">
      <xdr:nvSpPr>
        <xdr:cNvPr id="13314" name="CommandButton2" hidden="1">
          <a:extLst>
            <a:ext uri="{FF2B5EF4-FFF2-40B4-BE49-F238E27FC236}">
              <a16:creationId xmlns:a16="http://schemas.microsoft.com/office/drawing/2014/main" id="{00000000-0008-0000-0700-000002340000}"/>
            </a:ext>
          </a:extLst>
        </xdr:cNvPr>
        <xdr:cNvSpPr/>
      </xdr:nvSpPr>
      <xdr:spPr bwMode="auto">
        <a:xfrm>
          <a:off x="0" y="0"/>
          <a:ext cx="0" cy="0"/>
        </a:xfrm>
        <a:prstGeom prst="rect">
          <a:avLst/>
        </a:prstGeom>
        <a:noFill/>
        <a:ln>
          <a:noFill/>
        </a:ln>
      </xdr:spPr>
    </xdr:sp>
    <xdr:clientData fLocksWithSheet="0"/>
  </xdr:oneCellAnchor>
  <xdr:oneCellAnchor>
    <xdr:from>
      <xdr:col>14</xdr:col>
      <xdr:colOff>57150</xdr:colOff>
      <xdr:row>3</xdr:row>
      <xdr:rowOff>85725</xdr:rowOff>
    </xdr:from>
    <xdr:ext cx="457200" cy="257175"/>
    <xdr:sp macro="" textlink="">
      <xdr:nvSpPr>
        <xdr:cNvPr id="4" name="CommandButton1" hidden="1">
          <a:extLst>
            <a:ext uri="{FF2B5EF4-FFF2-40B4-BE49-F238E27FC236}">
              <a16:creationId xmlns:a16="http://schemas.microsoft.com/office/drawing/2014/main" id="{00000000-0008-0000-0700-000004000000}"/>
            </a:ext>
          </a:extLst>
        </xdr:cNvPr>
        <xdr:cNvSpPr/>
      </xdr:nvSpPr>
      <xdr:spPr bwMode="auto">
        <a:xfrm>
          <a:off x="10175240" y="492760"/>
          <a:ext cx="463550" cy="240030"/>
        </a:xfrm>
        <a:prstGeom prst="rect">
          <a:avLst/>
        </a:prstGeom>
        <a:noFill/>
        <a:ln>
          <a:noFill/>
        </a:ln>
      </xdr:spPr>
    </xdr:sp>
    <xdr:clientData fLocksWithSheet="0"/>
  </xdr:oneCellAnchor>
  <xdr:oneCellAnchor>
    <xdr:from>
      <xdr:col>14</xdr:col>
      <xdr:colOff>76200</xdr:colOff>
      <xdr:row>5</xdr:row>
      <xdr:rowOff>123825</xdr:rowOff>
    </xdr:from>
    <xdr:ext cx="447675" cy="390525"/>
    <xdr:sp macro="" textlink="">
      <xdr:nvSpPr>
        <xdr:cNvPr id="5" name="CommandButton2" hidden="1">
          <a:extLst>
            <a:ext uri="{FF2B5EF4-FFF2-40B4-BE49-F238E27FC236}">
              <a16:creationId xmlns:a16="http://schemas.microsoft.com/office/drawing/2014/main" id="{00000000-0008-0000-0700-000005000000}"/>
            </a:ext>
          </a:extLst>
        </xdr:cNvPr>
        <xdr:cNvSpPr/>
      </xdr:nvSpPr>
      <xdr:spPr bwMode="auto">
        <a:xfrm>
          <a:off x="10187940" y="972820"/>
          <a:ext cx="450850" cy="341630"/>
        </a:xfrm>
        <a:prstGeom prst="rect">
          <a:avLst/>
        </a:prstGeom>
        <a:noFill/>
        <a:ln>
          <a:noFill/>
        </a:ln>
      </xdr:spPr>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16</xdr:col>
      <xdr:colOff>0</xdr:colOff>
      <xdr:row>3</xdr:row>
      <xdr:rowOff>85725</xdr:rowOff>
    </xdr:from>
    <xdr:ext cx="457200" cy="228600"/>
    <xdr:sp macro="" textlink="">
      <xdr:nvSpPr>
        <xdr:cNvPr id="8193" name="CommandButton1" hidden="1">
          <a:extLs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xdr:spPr>
    </xdr:sp>
    <xdr:clientData fLocksWithSheet="0"/>
  </xdr:oneCellAnchor>
  <xdr:oneCellAnchor>
    <xdr:from>
      <xdr:col>16</xdr:col>
      <xdr:colOff>0</xdr:colOff>
      <xdr:row>5</xdr:row>
      <xdr:rowOff>123825</xdr:rowOff>
    </xdr:from>
    <xdr:ext cx="447675" cy="323850"/>
    <xdr:sp macro="" textlink="">
      <xdr:nvSpPr>
        <xdr:cNvPr id="8194" name="CommandButton2" hidden="1">
          <a:extLs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xdr:spPr>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17</xdr:col>
      <xdr:colOff>0</xdr:colOff>
      <xdr:row>3</xdr:row>
      <xdr:rowOff>85725</xdr:rowOff>
    </xdr:from>
    <xdr:ext cx="457200" cy="209550"/>
    <xdr:sp macro="" textlink="">
      <xdr:nvSpPr>
        <xdr:cNvPr id="2" name="CommandButton1" hidden="1">
          <a:extLst>
            <a:ext uri="{FF2B5EF4-FFF2-40B4-BE49-F238E27FC236}">
              <a16:creationId xmlns:a16="http://schemas.microsoft.com/office/drawing/2014/main" id="{00000000-0008-0000-0900-000002000000}"/>
            </a:ext>
          </a:extLst>
        </xdr:cNvPr>
        <xdr:cNvSpPr/>
      </xdr:nvSpPr>
      <xdr:spPr bwMode="auto">
        <a:xfrm>
          <a:off x="10507980" y="492760"/>
          <a:ext cx="463550" cy="240030"/>
        </a:xfrm>
        <a:prstGeom prst="rect">
          <a:avLst/>
        </a:prstGeom>
        <a:noFill/>
        <a:ln>
          <a:noFill/>
        </a:ln>
      </xdr:spPr>
    </xdr:sp>
    <xdr:clientData fLocksWithSheet="0"/>
  </xdr:oneCellAnchor>
  <xdr:oneCellAnchor>
    <xdr:from>
      <xdr:col>17</xdr:col>
      <xdr:colOff>0</xdr:colOff>
      <xdr:row>5</xdr:row>
      <xdr:rowOff>123825</xdr:rowOff>
    </xdr:from>
    <xdr:ext cx="447675" cy="333375"/>
    <xdr:sp macro="" textlink="">
      <xdr:nvSpPr>
        <xdr:cNvPr id="3" name="CommandButton2" hidden="1">
          <a:extLst>
            <a:ext uri="{FF2B5EF4-FFF2-40B4-BE49-F238E27FC236}">
              <a16:creationId xmlns:a16="http://schemas.microsoft.com/office/drawing/2014/main" id="{00000000-0008-0000-0900-000003000000}"/>
            </a:ext>
          </a:extLst>
        </xdr:cNvPr>
        <xdr:cNvSpPr/>
      </xdr:nvSpPr>
      <xdr:spPr bwMode="auto">
        <a:xfrm>
          <a:off x="10507980" y="919480"/>
          <a:ext cx="450850" cy="341630"/>
        </a:xfrm>
        <a:prstGeom prst="rect">
          <a:avLst/>
        </a:prstGeom>
        <a:noFill/>
        <a:ln>
          <a:noFill/>
        </a:ln>
      </xdr:spPr>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19050</xdr:colOff>
      <xdr:row>24</xdr:row>
      <xdr:rowOff>9525</xdr:rowOff>
    </xdr:from>
    <xdr:ext cx="8677275" cy="6562725"/>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16</xdr:col>
      <xdr:colOff>0</xdr:colOff>
      <xdr:row>2</xdr:row>
      <xdr:rowOff>85725</xdr:rowOff>
    </xdr:from>
    <xdr:ext cx="457200" cy="219075"/>
    <xdr:sp macro="" textlink="">
      <xdr:nvSpPr>
        <xdr:cNvPr id="2" name="CommandButton1" hidden="1">
          <a:extLst>
            <a:ext uri="{FF2B5EF4-FFF2-40B4-BE49-F238E27FC236}">
              <a16:creationId xmlns:a16="http://schemas.microsoft.com/office/drawing/2014/main" id="{00000000-0008-0000-0B00-000002000000}"/>
            </a:ext>
          </a:extLst>
        </xdr:cNvPr>
        <xdr:cNvSpPr/>
      </xdr:nvSpPr>
      <xdr:spPr bwMode="auto">
        <a:xfrm>
          <a:off x="10507980" y="492760"/>
          <a:ext cx="463550" cy="240030"/>
        </a:xfrm>
        <a:prstGeom prst="rect">
          <a:avLst/>
        </a:prstGeom>
        <a:noFill/>
        <a:ln>
          <a:noFill/>
        </a:ln>
      </xdr:spPr>
    </xdr:sp>
    <xdr:clientData fLocksWithSheet="0"/>
  </xdr:oneCellAnchor>
  <xdr:oneCellAnchor>
    <xdr:from>
      <xdr:col>16</xdr:col>
      <xdr:colOff>0</xdr:colOff>
      <xdr:row>4</xdr:row>
      <xdr:rowOff>123825</xdr:rowOff>
    </xdr:from>
    <xdr:ext cx="447675" cy="333375"/>
    <xdr:sp macro="" textlink="">
      <xdr:nvSpPr>
        <xdr:cNvPr id="3" name="CommandButton2" hidden="1">
          <a:extLst>
            <a:ext uri="{FF2B5EF4-FFF2-40B4-BE49-F238E27FC236}">
              <a16:creationId xmlns:a16="http://schemas.microsoft.com/office/drawing/2014/main" id="{00000000-0008-0000-0B00-000003000000}"/>
            </a:ext>
          </a:extLst>
        </xdr:cNvPr>
        <xdr:cNvSpPr/>
      </xdr:nvSpPr>
      <xdr:spPr bwMode="auto">
        <a:xfrm>
          <a:off x="10507980" y="919480"/>
          <a:ext cx="450850" cy="341630"/>
        </a:xfrm>
        <a:prstGeom prst="rect">
          <a:avLst/>
        </a:prstGeom>
        <a:noFill/>
        <a:ln>
          <a:noFill/>
        </a:ln>
      </xdr:spPr>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19075"/>
    <xdr:sp macro="" textlink="">
      <xdr:nvSpPr>
        <xdr:cNvPr id="6" name="CommandButton1" hidden="1">
          <a:extLst>
            <a:ext uri="{FF2B5EF4-FFF2-40B4-BE49-F238E27FC236}">
              <a16:creationId xmlns:a16="http://schemas.microsoft.com/office/drawing/2014/main" id="{00000000-0008-0000-0C00-000006000000}"/>
            </a:ext>
          </a:extLst>
        </xdr:cNvPr>
        <xdr:cNvSpPr/>
      </xdr:nvSpPr>
      <xdr:spPr bwMode="auto">
        <a:xfrm>
          <a:off x="10175240" y="492760"/>
          <a:ext cx="463550" cy="240030"/>
        </a:xfrm>
        <a:prstGeom prst="rect">
          <a:avLst/>
        </a:prstGeom>
        <a:noFill/>
        <a:ln>
          <a:noFill/>
        </a:ln>
      </xdr:spPr>
    </xdr:sp>
    <xdr:clientData fLocksWithSheet="0"/>
  </xdr:oneCellAnchor>
  <xdr:oneCellAnchor>
    <xdr:from>
      <xdr:col>13</xdr:col>
      <xdr:colOff>76200</xdr:colOff>
      <xdr:row>4</xdr:row>
      <xdr:rowOff>123825</xdr:rowOff>
    </xdr:from>
    <xdr:ext cx="447675" cy="342900"/>
    <xdr:sp macro="" textlink="">
      <xdr:nvSpPr>
        <xdr:cNvPr id="7" name="CommandButton2" hidden="1">
          <a:extLst>
            <a:ext uri="{FF2B5EF4-FFF2-40B4-BE49-F238E27FC236}">
              <a16:creationId xmlns:a16="http://schemas.microsoft.com/office/drawing/2014/main" id="{00000000-0008-0000-0C00-000007000000}"/>
            </a:ext>
          </a:extLst>
        </xdr:cNvPr>
        <xdr:cNvSpPr/>
      </xdr:nvSpPr>
      <xdr:spPr bwMode="auto">
        <a:xfrm>
          <a:off x="10187940" y="972820"/>
          <a:ext cx="450850" cy="341630"/>
        </a:xfrm>
        <a:prstGeom prst="rect">
          <a:avLst/>
        </a:prstGeom>
        <a:noFill/>
        <a:ln>
          <a:noFill/>
        </a:ln>
      </xdr:spPr>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19075"/>
    <xdr:sp macro="" textlink="">
      <xdr:nvSpPr>
        <xdr:cNvPr id="2" name="CommandButton1" hidden="1">
          <a:extLst>
            <a:ext uri="{FF2B5EF4-FFF2-40B4-BE49-F238E27FC236}">
              <a16:creationId xmlns:a16="http://schemas.microsoft.com/office/drawing/2014/main" id="{00000000-0008-0000-0D00-000002000000}"/>
            </a:ext>
          </a:extLst>
        </xdr:cNvPr>
        <xdr:cNvSpPr/>
      </xdr:nvSpPr>
      <xdr:spPr bwMode="auto">
        <a:xfrm>
          <a:off x="10899140" y="492760"/>
          <a:ext cx="463550" cy="240030"/>
        </a:xfrm>
        <a:prstGeom prst="rect">
          <a:avLst/>
        </a:prstGeom>
        <a:noFill/>
        <a:ln>
          <a:noFill/>
        </a:ln>
      </xdr:spPr>
    </xdr:sp>
    <xdr:clientData fLocksWithSheet="0"/>
  </xdr:oneCellAnchor>
  <xdr:oneCellAnchor>
    <xdr:from>
      <xdr:col>13</xdr:col>
      <xdr:colOff>76200</xdr:colOff>
      <xdr:row>4</xdr:row>
      <xdr:rowOff>123825</xdr:rowOff>
    </xdr:from>
    <xdr:ext cx="447675" cy="342900"/>
    <xdr:sp macro="" textlink="">
      <xdr:nvSpPr>
        <xdr:cNvPr id="3" name="CommandButton2" hidden="1">
          <a:extLst>
            <a:ext uri="{FF2B5EF4-FFF2-40B4-BE49-F238E27FC236}">
              <a16:creationId xmlns:a16="http://schemas.microsoft.com/office/drawing/2014/main" id="{00000000-0008-0000-0D00-000003000000}"/>
            </a:ext>
          </a:extLst>
        </xdr:cNvPr>
        <xdr:cNvSpPr/>
      </xdr:nvSpPr>
      <xdr:spPr bwMode="auto">
        <a:xfrm>
          <a:off x="10911840" y="972820"/>
          <a:ext cx="450850" cy="341630"/>
        </a:xfrm>
        <a:prstGeom prst="rect">
          <a:avLst/>
        </a:prstGeom>
        <a:noFill/>
        <a:ln>
          <a:noFill/>
        </a:ln>
      </xdr:spPr>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19075"/>
    <xdr:sp macro="" textlink="">
      <xdr:nvSpPr>
        <xdr:cNvPr id="2" name="CommandButton1" hidden="1">
          <a:extLst>
            <a:ext uri="{FF2B5EF4-FFF2-40B4-BE49-F238E27FC236}">
              <a16:creationId xmlns:a16="http://schemas.microsoft.com/office/drawing/2014/main" id="{00000000-0008-0000-0E00-000002000000}"/>
            </a:ext>
          </a:extLst>
        </xdr:cNvPr>
        <xdr:cNvSpPr/>
      </xdr:nvSpPr>
      <xdr:spPr bwMode="auto">
        <a:xfrm>
          <a:off x="10899140" y="492760"/>
          <a:ext cx="463550" cy="240030"/>
        </a:xfrm>
        <a:prstGeom prst="rect">
          <a:avLst/>
        </a:prstGeom>
        <a:noFill/>
        <a:ln>
          <a:noFill/>
        </a:ln>
      </xdr:spPr>
    </xdr:sp>
    <xdr:clientData fLocksWithSheet="0"/>
  </xdr:oneCellAnchor>
  <xdr:oneCellAnchor>
    <xdr:from>
      <xdr:col>13</xdr:col>
      <xdr:colOff>76200</xdr:colOff>
      <xdr:row>4</xdr:row>
      <xdr:rowOff>123825</xdr:rowOff>
    </xdr:from>
    <xdr:ext cx="447675" cy="342900"/>
    <xdr:sp macro="" textlink="">
      <xdr:nvSpPr>
        <xdr:cNvPr id="3" name="CommandButton2" hidden="1">
          <a:extLst>
            <a:ext uri="{FF2B5EF4-FFF2-40B4-BE49-F238E27FC236}">
              <a16:creationId xmlns:a16="http://schemas.microsoft.com/office/drawing/2014/main" id="{00000000-0008-0000-0E00-000003000000}"/>
            </a:ext>
          </a:extLst>
        </xdr:cNvPr>
        <xdr:cNvSpPr/>
      </xdr:nvSpPr>
      <xdr:spPr bwMode="auto">
        <a:xfrm>
          <a:off x="10911840" y="972820"/>
          <a:ext cx="450850" cy="341630"/>
        </a:xfrm>
        <a:prstGeom prst="rect">
          <a:avLst/>
        </a:prstGeom>
        <a:noFill/>
        <a:ln>
          <a:noFill/>
        </a:ln>
      </xdr:spPr>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19075"/>
    <xdr:sp macro="" textlink="">
      <xdr:nvSpPr>
        <xdr:cNvPr id="2" name="CommandButton1" hidden="1">
          <a:extLst>
            <a:ext uri="{FF2B5EF4-FFF2-40B4-BE49-F238E27FC236}">
              <a16:creationId xmlns:a16="http://schemas.microsoft.com/office/drawing/2014/main" id="{00000000-0008-0000-0F00-000002000000}"/>
            </a:ext>
          </a:extLst>
        </xdr:cNvPr>
        <xdr:cNvSpPr/>
      </xdr:nvSpPr>
      <xdr:spPr bwMode="auto">
        <a:xfrm>
          <a:off x="10899140" y="492760"/>
          <a:ext cx="463550" cy="240030"/>
        </a:xfrm>
        <a:prstGeom prst="rect">
          <a:avLst/>
        </a:prstGeom>
        <a:noFill/>
        <a:ln>
          <a:noFill/>
        </a:ln>
      </xdr:spPr>
    </xdr:sp>
    <xdr:clientData fLocksWithSheet="0"/>
  </xdr:oneCellAnchor>
  <xdr:oneCellAnchor>
    <xdr:from>
      <xdr:col>13</xdr:col>
      <xdr:colOff>76200</xdr:colOff>
      <xdr:row>4</xdr:row>
      <xdr:rowOff>123825</xdr:rowOff>
    </xdr:from>
    <xdr:ext cx="447675" cy="342900"/>
    <xdr:sp macro="" textlink="">
      <xdr:nvSpPr>
        <xdr:cNvPr id="3" name="CommandButton2" hidden="1">
          <a:extLst>
            <a:ext uri="{FF2B5EF4-FFF2-40B4-BE49-F238E27FC236}">
              <a16:creationId xmlns:a16="http://schemas.microsoft.com/office/drawing/2014/main" id="{00000000-0008-0000-0F00-000003000000}"/>
            </a:ext>
          </a:extLst>
        </xdr:cNvPr>
        <xdr:cNvSpPr/>
      </xdr:nvSpPr>
      <xdr:spPr bwMode="auto">
        <a:xfrm>
          <a:off x="10911840" y="972820"/>
          <a:ext cx="450850" cy="341630"/>
        </a:xfrm>
        <a:prstGeom prst="rect">
          <a:avLst/>
        </a:prstGeom>
        <a:noFill/>
        <a:ln>
          <a:noFill/>
        </a:ln>
      </xdr:spPr>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19075"/>
    <xdr:sp macro="" textlink="">
      <xdr:nvSpPr>
        <xdr:cNvPr id="2" name="CommandButton1" hidden="1">
          <a:extLst>
            <a:ext uri="{FF2B5EF4-FFF2-40B4-BE49-F238E27FC236}">
              <a16:creationId xmlns:a16="http://schemas.microsoft.com/office/drawing/2014/main" id="{00000000-0008-0000-1000-000002000000}"/>
            </a:ext>
          </a:extLst>
        </xdr:cNvPr>
        <xdr:cNvSpPr/>
      </xdr:nvSpPr>
      <xdr:spPr bwMode="auto">
        <a:xfrm>
          <a:off x="11099800" y="488950"/>
          <a:ext cx="463550" cy="234950"/>
        </a:xfrm>
        <a:prstGeom prst="rect">
          <a:avLst/>
        </a:prstGeom>
        <a:noFill/>
        <a:ln>
          <a:noFill/>
        </a:ln>
      </xdr:spPr>
    </xdr:sp>
    <xdr:clientData fLocksWithSheet="0"/>
  </xdr:oneCellAnchor>
  <xdr:oneCellAnchor>
    <xdr:from>
      <xdr:col>13</xdr:col>
      <xdr:colOff>76200</xdr:colOff>
      <xdr:row>4</xdr:row>
      <xdr:rowOff>123825</xdr:rowOff>
    </xdr:from>
    <xdr:ext cx="447675" cy="342900"/>
    <xdr:sp macro="" textlink="">
      <xdr:nvSpPr>
        <xdr:cNvPr id="3" name="CommandButton2" hidden="1">
          <a:extLst>
            <a:ext uri="{FF2B5EF4-FFF2-40B4-BE49-F238E27FC236}">
              <a16:creationId xmlns:a16="http://schemas.microsoft.com/office/drawing/2014/main" id="{00000000-0008-0000-1000-000003000000}"/>
            </a:ext>
          </a:extLst>
        </xdr:cNvPr>
        <xdr:cNvSpPr/>
      </xdr:nvSpPr>
      <xdr:spPr bwMode="auto">
        <a:xfrm>
          <a:off x="11112500" y="958850"/>
          <a:ext cx="450850" cy="337820"/>
        </a:xfrm>
        <a:prstGeom prst="rect">
          <a:avLst/>
        </a:prstGeom>
        <a:noFill/>
        <a:ln>
          <a:noFill/>
        </a:ln>
      </xdr:spPr>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13</xdr:col>
      <xdr:colOff>57150</xdr:colOff>
      <xdr:row>2</xdr:row>
      <xdr:rowOff>85725</xdr:rowOff>
    </xdr:from>
    <xdr:ext cx="457200" cy="247650"/>
    <xdr:sp macro="" textlink="">
      <xdr:nvSpPr>
        <xdr:cNvPr id="2" name="CommandButton1" hidden="1">
          <a:extLst>
            <a:ext uri="{FF2B5EF4-FFF2-40B4-BE49-F238E27FC236}">
              <a16:creationId xmlns:a16="http://schemas.microsoft.com/office/drawing/2014/main" id="{00000000-0008-0000-1100-000002000000}"/>
            </a:ext>
          </a:extLst>
        </xdr:cNvPr>
        <xdr:cNvSpPr/>
      </xdr:nvSpPr>
      <xdr:spPr bwMode="auto">
        <a:xfrm>
          <a:off x="11099800" y="488950"/>
          <a:ext cx="463550" cy="234950"/>
        </a:xfrm>
        <a:prstGeom prst="rect">
          <a:avLst/>
        </a:prstGeom>
        <a:noFill/>
        <a:ln>
          <a:noFill/>
        </a:ln>
      </xdr:spPr>
    </xdr:sp>
    <xdr:clientData fLocksWithSheet="0"/>
  </xdr:oneCellAnchor>
  <xdr:oneCellAnchor>
    <xdr:from>
      <xdr:col>13</xdr:col>
      <xdr:colOff>76200</xdr:colOff>
      <xdr:row>4</xdr:row>
      <xdr:rowOff>123825</xdr:rowOff>
    </xdr:from>
    <xdr:ext cx="447675" cy="333375"/>
    <xdr:sp macro="" textlink="">
      <xdr:nvSpPr>
        <xdr:cNvPr id="3" name="CommandButton2" hidden="1">
          <a:extLst>
            <a:ext uri="{FF2B5EF4-FFF2-40B4-BE49-F238E27FC236}">
              <a16:creationId xmlns:a16="http://schemas.microsoft.com/office/drawing/2014/main" id="{00000000-0008-0000-1100-000003000000}"/>
            </a:ext>
          </a:extLst>
        </xdr:cNvPr>
        <xdr:cNvSpPr/>
      </xdr:nvSpPr>
      <xdr:spPr bwMode="auto">
        <a:xfrm>
          <a:off x="11112500" y="958850"/>
          <a:ext cx="450850" cy="337820"/>
        </a:xfrm>
        <a:prstGeom prst="rect">
          <a:avLst/>
        </a:prstGeom>
        <a:noFill/>
        <a:ln>
          <a:noFill/>
        </a:ln>
      </xdr:spPr>
    </xdr:sp>
    <xdr:clientData fLocksWithSheet="0"/>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
  <sheetViews>
    <sheetView workbookViewId="0"/>
  </sheetViews>
  <sheetFormatPr baseColWidth="10" defaultColWidth="14.44140625" defaultRowHeight="15" customHeight="1" x14ac:dyDescent="0.3"/>
  <cols>
    <col min="1" max="1" width="11.5546875" customWidth="1"/>
    <col min="2" max="3" width="3.5546875" customWidth="1"/>
    <col min="4" max="5" width="3.44140625" customWidth="1"/>
    <col min="6" max="6" width="4.109375" customWidth="1"/>
    <col min="7" max="11" width="11.554687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 right="0.7" top="0.75" bottom="0.75" header="0" footer="0"/>
  <pageSetup orientation="landscape"/>
  <headerFooter>
    <oddFooter>&amp;C_x000D_#000000 Usage Interne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100"/>
  <sheetViews>
    <sheetView showGridLines="0" tabSelected="1" workbookViewId="0">
      <pane xSplit="8" ySplit="30" topLeftCell="I32" activePane="bottomRight" state="frozen"/>
      <selection pane="topRight" activeCell="I1" sqref="I1"/>
      <selection pane="bottomLeft" activeCell="A31" sqref="A31"/>
      <selection pane="bottomRight" activeCell="E14" sqref="E14"/>
    </sheetView>
  </sheetViews>
  <sheetFormatPr baseColWidth="10" defaultColWidth="14.44140625" defaultRowHeight="15" customHeight="1" x14ac:dyDescent="0.3"/>
  <cols>
    <col min="1" max="1" width="13.88671875" customWidth="1"/>
    <col min="2" max="2" width="22.5546875" hidden="1" customWidth="1"/>
    <col min="3" max="3" width="46.44140625" customWidth="1"/>
    <col min="4" max="4" width="26.88671875" customWidth="1"/>
    <col min="5" max="5" width="27.5546875" customWidth="1"/>
    <col min="6" max="6" width="14.88671875" customWidth="1"/>
    <col min="7" max="7" width="13.109375" customWidth="1"/>
    <col min="8" max="8" width="12.5546875" customWidth="1"/>
    <col min="9" max="10" width="13.88671875" customWidth="1"/>
    <col min="11" max="11" width="12.5546875" customWidth="1"/>
    <col min="12" max="12" width="13.5546875" customWidth="1"/>
    <col min="13" max="13" width="13.109375" customWidth="1"/>
    <col min="14" max="14" width="11.88671875" customWidth="1"/>
    <col min="15" max="16" width="10.109375" customWidth="1"/>
    <col min="17" max="17" width="8" customWidth="1"/>
    <col min="18" max="18" width="7" customWidth="1"/>
    <col min="19" max="19" width="17.44140625" customWidth="1"/>
    <col min="20" max="20" width="20.109375" customWidth="1"/>
    <col min="21" max="21" width="18.88671875" customWidth="1"/>
    <col min="22" max="22" width="16.109375" customWidth="1"/>
    <col min="23" max="23" width="23.109375" customWidth="1"/>
    <col min="24" max="24" width="17.5546875" customWidth="1"/>
    <col min="25" max="25" width="20.88671875" customWidth="1"/>
    <col min="26" max="26" width="20" customWidth="1"/>
    <col min="27" max="27" width="18.44140625" customWidth="1"/>
    <col min="28" max="28" width="17.88671875" customWidth="1"/>
    <col min="29" max="29" width="15" customWidth="1"/>
    <col min="30" max="30" width="16.44140625" customWidth="1"/>
    <col min="31" max="31" width="15.44140625" customWidth="1"/>
    <col min="32" max="32" width="14.5546875" customWidth="1"/>
    <col min="33" max="33" width="14" customWidth="1"/>
    <col min="34" max="34" width="12.5546875" customWidth="1"/>
    <col min="35" max="35" width="13.109375" customWidth="1"/>
    <col min="36" max="36" width="11.44140625" customWidth="1"/>
    <col min="37" max="37" width="10.5546875" customWidth="1"/>
    <col min="38" max="38" width="12.109375" customWidth="1"/>
    <col min="39" max="39" width="13.5546875" customWidth="1"/>
    <col min="40" max="40" width="9.88671875" customWidth="1"/>
    <col min="41" max="41" width="11.5546875" customWidth="1"/>
    <col min="42" max="42" width="18.88671875" customWidth="1"/>
    <col min="43" max="43" width="14.44140625" customWidth="1"/>
    <col min="44" max="44" width="25.88671875" customWidth="1"/>
    <col min="45" max="45" width="27.109375" customWidth="1"/>
    <col min="46" max="98" width="13.88671875" customWidth="1"/>
  </cols>
  <sheetData>
    <row r="1" spans="1:98" ht="21" customHeight="1" x14ac:dyDescent="0.3">
      <c r="A1" s="1">
        <v>1</v>
      </c>
      <c r="B1" s="2" t="s">
        <v>0</v>
      </c>
      <c r="C1" s="1" t="s">
        <v>1</v>
      </c>
      <c r="D1" s="1"/>
      <c r="E1" s="3"/>
      <c r="F1" s="3" t="s">
        <v>2</v>
      </c>
      <c r="G1" s="3" t="s">
        <v>3</v>
      </c>
      <c r="H1" s="1"/>
      <c r="I1" s="1"/>
      <c r="J1" s="1"/>
      <c r="K1" s="4" t="s">
        <v>4</v>
      </c>
      <c r="L1" s="5" t="s">
        <v>5</v>
      </c>
      <c r="M1" s="6" t="s">
        <v>6</v>
      </c>
      <c r="N1" s="1">
        <v>1</v>
      </c>
      <c r="O1" s="7" t="s">
        <v>7</v>
      </c>
      <c r="P1" s="8" t="s">
        <v>8</v>
      </c>
      <c r="Q1" s="8" t="s">
        <v>9</v>
      </c>
      <c r="R1" s="8" t="s">
        <v>10</v>
      </c>
      <c r="S1" s="8" t="s">
        <v>11</v>
      </c>
      <c r="T1" s="8" t="s">
        <v>12</v>
      </c>
      <c r="U1" s="8" t="s">
        <v>13</v>
      </c>
      <c r="V1" s="8" t="s">
        <v>14</v>
      </c>
      <c r="W1" s="8" t="s">
        <v>15</v>
      </c>
      <c r="X1" s="8" t="s">
        <v>16</v>
      </c>
      <c r="Y1" s="8" t="s">
        <v>17</v>
      </c>
      <c r="Z1" s="8" t="s">
        <v>18</v>
      </c>
      <c r="AA1" s="8" t="s">
        <v>19</v>
      </c>
      <c r="AB1" s="8"/>
      <c r="AC1" s="8" t="s">
        <v>20</v>
      </c>
      <c r="AD1" s="8" t="s">
        <v>21</v>
      </c>
      <c r="AE1" s="8" t="s">
        <v>22</v>
      </c>
      <c r="AF1" s="8" t="s">
        <v>23</v>
      </c>
      <c r="AG1" s="8" t="s">
        <v>24</v>
      </c>
      <c r="AH1" s="8" t="s">
        <v>25</v>
      </c>
      <c r="AI1" s="9" t="s">
        <v>26</v>
      </c>
      <c r="AJ1" s="9" t="s">
        <v>27</v>
      </c>
      <c r="AK1" s="9" t="s">
        <v>28</v>
      </c>
      <c r="AL1" s="9" t="s">
        <v>29</v>
      </c>
      <c r="AM1" s="9" t="s">
        <v>25</v>
      </c>
      <c r="AN1" s="1"/>
      <c r="AO1" s="396" t="s">
        <v>30</v>
      </c>
      <c r="AP1" s="383"/>
      <c r="AQ1" s="396"/>
      <c r="AR1" s="382"/>
      <c r="AS1" s="382"/>
      <c r="AT1" s="382"/>
      <c r="AU1" s="383"/>
      <c r="AV1" s="396" t="str">
        <f>'5. RESULTAT'!K36</f>
        <v>Calculs</v>
      </c>
      <c r="AW1" s="383"/>
      <c r="AX1" s="10" t="str">
        <f>'5. RESULTAT'!M36</f>
        <v>Résultats</v>
      </c>
      <c r="AY1" s="1" t="s">
        <v>5</v>
      </c>
      <c r="AZ1" s="1" t="s">
        <v>31</v>
      </c>
      <c r="BA1" s="1" t="s">
        <v>32</v>
      </c>
      <c r="BB1" s="1" t="s">
        <v>33</v>
      </c>
      <c r="BC1" s="1" t="s">
        <v>34</v>
      </c>
      <c r="BD1" s="1"/>
      <c r="BE1" s="1"/>
      <c r="BF1" s="1" t="str">
        <f>CONCATENATE("Le crédit dépasse le besoin réel de ",(BF4),"%")</f>
        <v>Le crédit dépasse le besoin réel de -67,49%</v>
      </c>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t="s">
        <v>35</v>
      </c>
      <c r="CN1" s="1">
        <f>IF('5. RESULTAT'!D16="Prélèvement de l'exploitant",'5. RESULTAT'!K16,0)</f>
        <v>0</v>
      </c>
      <c r="CO1" s="1"/>
      <c r="CP1" s="11" t="s">
        <v>36</v>
      </c>
      <c r="CQ1" s="11"/>
      <c r="CR1" s="11"/>
      <c r="CS1" s="11"/>
      <c r="CT1" s="11"/>
    </row>
    <row r="2" spans="1:98" ht="17.25" customHeight="1" x14ac:dyDescent="0.3">
      <c r="A2" s="1">
        <v>2</v>
      </c>
      <c r="B2" s="2" t="s">
        <v>37</v>
      </c>
      <c r="C2" s="1" t="s">
        <v>38</v>
      </c>
      <c r="D2" s="1"/>
      <c r="E2" s="3" t="s">
        <v>39</v>
      </c>
      <c r="F2" s="12">
        <f>'2. PROD'!I16</f>
        <v>922680000</v>
      </c>
      <c r="G2" s="12">
        <f>'2. PROD'!I24</f>
        <v>1700000000</v>
      </c>
      <c r="H2" s="1"/>
      <c r="I2" s="1"/>
      <c r="J2" s="1"/>
      <c r="K2" s="4" t="s">
        <v>40</v>
      </c>
      <c r="L2" s="5" t="s">
        <v>41</v>
      </c>
      <c r="M2" s="13" t="s">
        <v>42</v>
      </c>
      <c r="N2" s="1">
        <v>2</v>
      </c>
      <c r="O2" s="7" t="s">
        <v>43</v>
      </c>
      <c r="P2" s="1" t="s">
        <v>44</v>
      </c>
      <c r="Q2" s="2" t="s">
        <v>45</v>
      </c>
      <c r="R2" s="1" t="s">
        <v>46</v>
      </c>
      <c r="S2" s="1" t="s">
        <v>47</v>
      </c>
      <c r="T2" s="2" t="s">
        <v>48</v>
      </c>
      <c r="U2" s="2" t="s">
        <v>49</v>
      </c>
      <c r="V2" s="2" t="s">
        <v>50</v>
      </c>
      <c r="W2" s="2" t="s">
        <v>51</v>
      </c>
      <c r="X2" s="2" t="s">
        <v>52</v>
      </c>
      <c r="Y2" s="1" t="s">
        <v>53</v>
      </c>
      <c r="Z2" s="1" t="s">
        <v>54</v>
      </c>
      <c r="AA2" s="1" t="s">
        <v>55</v>
      </c>
      <c r="AB2" s="1"/>
      <c r="AC2" s="1" t="s">
        <v>26</v>
      </c>
      <c r="AD2" s="1" t="s">
        <v>56</v>
      </c>
      <c r="AE2" s="1" t="s">
        <v>57</v>
      </c>
      <c r="AF2" s="1" t="s">
        <v>58</v>
      </c>
      <c r="AG2" s="1" t="s">
        <v>59</v>
      </c>
      <c r="AH2" s="2"/>
      <c r="AI2" s="11" t="s">
        <v>60</v>
      </c>
      <c r="AJ2" s="11" t="s">
        <v>42</v>
      </c>
      <c r="AK2" s="11" t="s">
        <v>42</v>
      </c>
      <c r="AL2" s="11" t="s">
        <v>42</v>
      </c>
      <c r="AM2" s="1"/>
      <c r="AN2" s="1"/>
      <c r="AO2" s="391" t="s">
        <v>61</v>
      </c>
      <c r="AP2" s="392"/>
      <c r="AQ2" s="385" t="s">
        <v>62</v>
      </c>
      <c r="AR2" s="382"/>
      <c r="AS2" s="382"/>
      <c r="AT2" s="383"/>
      <c r="AU2" s="14"/>
      <c r="AV2" s="15">
        <f>'5. RESULTAT'!K37</f>
        <v>300000000</v>
      </c>
      <c r="AW2" s="16"/>
      <c r="AX2" s="386">
        <f>'5. RESULTAT'!M37</f>
        <v>0.32513981011835091</v>
      </c>
      <c r="AY2" s="1" t="s">
        <v>63</v>
      </c>
      <c r="AZ2" s="1" t="s">
        <v>64</v>
      </c>
      <c r="BA2" s="1" t="s">
        <v>65</v>
      </c>
      <c r="BB2" s="1" t="s">
        <v>66</v>
      </c>
      <c r="BC2" s="1" t="s">
        <v>67</v>
      </c>
      <c r="BD2" s="1"/>
      <c r="BE2" s="17">
        <f>IF('1. DEMANDE'!I54="Investissement",'3. BILAN'!J50,'3. BILAN'!J60)</f>
        <v>922680000</v>
      </c>
      <c r="BF2" s="1" t="str">
        <f>IF('8. PROPOSITION'!M12&gt;BE2,BF1,IF('8. PROPOSITION'!M12=BE2,"Le crédit couvre bien le besoin réel.","Attention, le crédit ne couvre pas le besoin réel."))</f>
        <v>Attention, le crédit ne couvre pas le besoin réel.</v>
      </c>
      <c r="BG2" s="1" t="str">
        <f>IF(AX2&lt;=20%,AY2,IF(AND(AX2&gt;20%,AX2&lt;=50%),AZ2,IF(AND(AX2&gt;50%,AX2&lt;=65%),BA2,IF(AND(AX2&gt;65%,AX2&lt;=100%),BB2,IF(AX2&gt;100%,BC2,"")))))</f>
        <v>Bon ratio. Le niveau de participation de financement est acceptable.</v>
      </c>
      <c r="BH2" s="1" t="str">
        <f>CONCATENATE(BG2," ",BF2)</f>
        <v>Bon ratio. Le niveau de participation de financement est acceptable. Attention, le crédit ne couvre pas le besoin réel.</v>
      </c>
      <c r="BI2" s="1" t="str">
        <f>IF('8. PROPOSITION'!M12="","",IF(BE2&lt;0,"Attention ! Ce client n'a de besoin réel identifié - veuillez revoir les analyses",BH2))</f>
        <v>Bon ratio. Le niveau de participation de financement est acceptable. Attention, le crédit ne couvre pas le besoin réel.</v>
      </c>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t="s">
        <v>35</v>
      </c>
      <c r="CN2" s="1">
        <f>IF('5. RESULTAT'!D17="Prélèvement de l'exploitant",'5. RESULTAT'!K17,0)</f>
        <v>0</v>
      </c>
      <c r="CO2" s="1"/>
      <c r="CP2" s="11" t="s">
        <v>68</v>
      </c>
      <c r="CQ2" s="11"/>
      <c r="CR2" s="11"/>
      <c r="CS2" s="11"/>
      <c r="CT2" s="11"/>
    </row>
    <row r="3" spans="1:98" ht="23.25" customHeight="1" x14ac:dyDescent="0.3">
      <c r="A3" s="1">
        <v>3</v>
      </c>
      <c r="B3" s="2" t="s">
        <v>69</v>
      </c>
      <c r="C3" s="1" t="s">
        <v>70</v>
      </c>
      <c r="D3" s="1"/>
      <c r="E3" s="3" t="s">
        <v>71</v>
      </c>
      <c r="F3" s="18">
        <f>ANIMAL!J24</f>
        <v>0</v>
      </c>
      <c r="G3" s="18">
        <f>ANIMAL!J32</f>
        <v>0</v>
      </c>
      <c r="H3" s="1"/>
      <c r="I3" s="1"/>
      <c r="J3" s="1"/>
      <c r="K3" s="4" t="s">
        <v>72</v>
      </c>
      <c r="L3" s="5" t="s">
        <v>73</v>
      </c>
      <c r="M3" s="19" t="s">
        <v>74</v>
      </c>
      <c r="N3" s="1">
        <v>3</v>
      </c>
      <c r="O3" s="7" t="s">
        <v>75</v>
      </c>
      <c r="P3" s="1" t="s">
        <v>76</v>
      </c>
      <c r="Q3" s="1" t="s">
        <v>77</v>
      </c>
      <c r="R3" s="1" t="s">
        <v>78</v>
      </c>
      <c r="S3" s="1" t="s">
        <v>79</v>
      </c>
      <c r="T3" s="1" t="s">
        <v>80</v>
      </c>
      <c r="U3" s="1" t="s">
        <v>81</v>
      </c>
      <c r="V3" s="1" t="s">
        <v>82</v>
      </c>
      <c r="W3" s="1"/>
      <c r="X3" s="1" t="s">
        <v>83</v>
      </c>
      <c r="Y3" s="1" t="s">
        <v>84</v>
      </c>
      <c r="Z3" s="2" t="s">
        <v>85</v>
      </c>
      <c r="AA3" s="1" t="s">
        <v>86</v>
      </c>
      <c r="AB3" s="1"/>
      <c r="AC3" s="1" t="s">
        <v>27</v>
      </c>
      <c r="AD3" s="1" t="s">
        <v>87</v>
      </c>
      <c r="AE3" s="1" t="s">
        <v>88</v>
      </c>
      <c r="AF3" s="1" t="s">
        <v>89</v>
      </c>
      <c r="AG3" s="1" t="s">
        <v>25</v>
      </c>
      <c r="AH3" s="2"/>
      <c r="AI3" s="11" t="s">
        <v>90</v>
      </c>
      <c r="AJ3" s="11" t="s">
        <v>74</v>
      </c>
      <c r="AK3" s="11" t="s">
        <v>74</v>
      </c>
      <c r="AL3" s="11" t="s">
        <v>74</v>
      </c>
      <c r="AM3" s="1"/>
      <c r="AN3" s="1"/>
      <c r="AO3" s="393"/>
      <c r="AP3" s="394"/>
      <c r="AQ3" s="397" t="s">
        <v>91</v>
      </c>
      <c r="AR3" s="382"/>
      <c r="AS3" s="382"/>
      <c r="AT3" s="383"/>
      <c r="AU3" s="3"/>
      <c r="AV3" s="20">
        <f>'5. RESULTAT'!K38</f>
        <v>922680000</v>
      </c>
      <c r="AW3" s="16"/>
      <c r="AX3" s="387"/>
      <c r="AY3" s="1" t="s">
        <v>92</v>
      </c>
      <c r="AZ3" s="1" t="s">
        <v>93</v>
      </c>
      <c r="BA3" s="1" t="s">
        <v>94</v>
      </c>
      <c r="BB3" s="1" t="s">
        <v>95</v>
      </c>
      <c r="BC3" s="1" t="s">
        <v>96</v>
      </c>
      <c r="BD3" s="1"/>
      <c r="BE3" s="1"/>
      <c r="BF3" s="21">
        <f>(('8. PROPOSITION'!M12/BE2)-1)*100</f>
        <v>-67.486018988164915</v>
      </c>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t="s">
        <v>35</v>
      </c>
      <c r="CN3" s="1">
        <f>IF('5. RESULTAT'!D18="Prélèvement de l'exploitant",'5. RESULTAT'!K18,0)</f>
        <v>0</v>
      </c>
      <c r="CO3" s="1"/>
      <c r="CP3" s="11" t="s">
        <v>97</v>
      </c>
      <c r="CQ3" s="11"/>
      <c r="CR3" s="11"/>
      <c r="CS3" s="11"/>
      <c r="CT3" s="11"/>
    </row>
    <row r="4" spans="1:98" ht="21.75" customHeight="1" x14ac:dyDescent="0.3">
      <c r="A4" s="1">
        <v>4</v>
      </c>
      <c r="B4" s="2" t="s">
        <v>98</v>
      </c>
      <c r="C4" s="1" t="s">
        <v>99</v>
      </c>
      <c r="D4" s="1"/>
      <c r="E4" s="3" t="s">
        <v>28</v>
      </c>
      <c r="F4" s="18">
        <f>TRFM1!J29+TRFM2!J29+TRFM3!J29</f>
        <v>0</v>
      </c>
      <c r="G4" s="18">
        <f>TRFM1!J37+TRFM2!J37+TRFM3!J37</f>
        <v>0</v>
      </c>
      <c r="H4" s="1"/>
      <c r="I4" s="1"/>
      <c r="J4" s="1"/>
      <c r="K4" s="4" t="s">
        <v>100</v>
      </c>
      <c r="L4" s="5" t="s">
        <v>32</v>
      </c>
      <c r="M4" s="19" t="s">
        <v>101</v>
      </c>
      <c r="N4" s="1">
        <v>4</v>
      </c>
      <c r="O4" s="7" t="s">
        <v>102</v>
      </c>
      <c r="P4" s="1" t="s">
        <v>103</v>
      </c>
      <c r="Q4" s="1" t="s">
        <v>104</v>
      </c>
      <c r="R4" s="1" t="s">
        <v>105</v>
      </c>
      <c r="S4" s="1" t="s">
        <v>106</v>
      </c>
      <c r="T4" s="1" t="s">
        <v>107</v>
      </c>
      <c r="U4" s="1" t="s">
        <v>108</v>
      </c>
      <c r="V4" s="1" t="s">
        <v>109</v>
      </c>
      <c r="W4" s="1"/>
      <c r="X4" s="1" t="s">
        <v>110</v>
      </c>
      <c r="Y4" s="1" t="s">
        <v>111</v>
      </c>
      <c r="Z4" s="1" t="s">
        <v>112</v>
      </c>
      <c r="AA4" s="1" t="s">
        <v>113</v>
      </c>
      <c r="AB4" s="1"/>
      <c r="AC4" s="1" t="s">
        <v>28</v>
      </c>
      <c r="AD4" s="1" t="s">
        <v>114</v>
      </c>
      <c r="AE4" s="1" t="s">
        <v>115</v>
      </c>
      <c r="AF4" s="1" t="s">
        <v>116</v>
      </c>
      <c r="AG4" s="1"/>
      <c r="AH4" s="1"/>
      <c r="AI4" s="22" t="s">
        <v>117</v>
      </c>
      <c r="AJ4" s="11" t="s">
        <v>101</v>
      </c>
      <c r="AK4" s="11" t="s">
        <v>101</v>
      </c>
      <c r="AL4" s="11" t="s">
        <v>101</v>
      </c>
      <c r="AM4" s="1"/>
      <c r="AN4" s="1"/>
      <c r="AO4" s="391" t="s">
        <v>118</v>
      </c>
      <c r="AP4" s="392"/>
      <c r="AQ4" s="385" t="s">
        <v>119</v>
      </c>
      <c r="AR4" s="382"/>
      <c r="AS4" s="382"/>
      <c r="AT4" s="383"/>
      <c r="AU4" s="16"/>
      <c r="AV4" s="15">
        <f>'5. RESULTAT'!K39</f>
        <v>260505333.33333334</v>
      </c>
      <c r="AW4" s="10"/>
      <c r="AX4" s="395">
        <f>'5. RESULTAT'!M39</f>
        <v>1.439255985267035</v>
      </c>
      <c r="AY4" s="1" t="s">
        <v>120</v>
      </c>
      <c r="AZ4" s="1" t="s">
        <v>121</v>
      </c>
      <c r="BA4" s="1" t="s">
        <v>122</v>
      </c>
      <c r="BB4" s="1" t="s">
        <v>123</v>
      </c>
      <c r="BC4" s="1" t="s">
        <v>124</v>
      </c>
      <c r="BD4" s="1"/>
      <c r="BE4" s="1"/>
      <c r="BF4" s="21">
        <f>ROUNDUP(BF3,2)</f>
        <v>-67.490000000000009</v>
      </c>
      <c r="BG4" s="1"/>
      <c r="BH4" s="1"/>
      <c r="BI4" s="1" t="str">
        <f>IF('8. PROPOSITION'!M12="","",IF('5. RESULTAT'!K32&lt;0,"Attention ! La capacité de rembourssement est négative - veuillez échanger avec le client",BG5))</f>
        <v>La couverture de l'échéance est acceptable mais trop juste. Le risque d'impayé est à prendre en compte.</v>
      </c>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t="s">
        <v>35</v>
      </c>
      <c r="CN4" s="1">
        <f>IF('5. RESULTAT'!D19="Prélèvement de l'exploitant",'5. RESULTAT'!K19,0)</f>
        <v>0</v>
      </c>
      <c r="CO4" s="1"/>
      <c r="CP4" s="11" t="s">
        <v>125</v>
      </c>
      <c r="CQ4" s="23"/>
      <c r="CR4" s="23"/>
      <c r="CS4" s="23"/>
      <c r="CT4" s="23"/>
    </row>
    <row r="5" spans="1:98" ht="24.75" customHeight="1" x14ac:dyDescent="0.3">
      <c r="A5" s="1">
        <v>5</v>
      </c>
      <c r="B5" s="2" t="s">
        <v>126</v>
      </c>
      <c r="C5" s="1" t="s">
        <v>25</v>
      </c>
      <c r="D5" s="1"/>
      <c r="E5" s="3" t="s">
        <v>29</v>
      </c>
      <c r="F5" s="18">
        <f>COMM!J24</f>
        <v>0</v>
      </c>
      <c r="G5" s="18">
        <f>COMM!J32</f>
        <v>0</v>
      </c>
      <c r="H5" s="1"/>
      <c r="I5" s="1"/>
      <c r="J5" s="1"/>
      <c r="K5" s="4" t="s">
        <v>127</v>
      </c>
      <c r="L5" s="5" t="s">
        <v>128</v>
      </c>
      <c r="M5" s="19" t="s">
        <v>90</v>
      </c>
      <c r="N5" s="1">
        <v>5</v>
      </c>
      <c r="O5" s="7" t="s">
        <v>129</v>
      </c>
      <c r="P5" s="1" t="s">
        <v>130</v>
      </c>
      <c r="Q5" s="1" t="s">
        <v>131</v>
      </c>
      <c r="R5" s="1" t="s">
        <v>132</v>
      </c>
      <c r="S5" s="1" t="s">
        <v>133</v>
      </c>
      <c r="T5" s="1" t="s">
        <v>134</v>
      </c>
      <c r="U5" s="1" t="s">
        <v>135</v>
      </c>
      <c r="V5" s="1" t="s">
        <v>136</v>
      </c>
      <c r="W5" s="1"/>
      <c r="X5" s="1" t="s">
        <v>137</v>
      </c>
      <c r="Y5" s="1" t="s">
        <v>138</v>
      </c>
      <c r="Z5" s="1" t="s">
        <v>139</v>
      </c>
      <c r="AA5" s="1" t="s">
        <v>140</v>
      </c>
      <c r="AB5" s="1"/>
      <c r="AC5" s="1" t="s">
        <v>29</v>
      </c>
      <c r="AD5" s="1" t="s">
        <v>141</v>
      </c>
      <c r="AE5" s="1" t="s">
        <v>142</v>
      </c>
      <c r="AF5" s="1" t="s">
        <v>143</v>
      </c>
      <c r="AG5" s="1"/>
      <c r="AH5" s="1"/>
      <c r="AI5" s="22" t="s">
        <v>144</v>
      </c>
      <c r="AJ5" s="11" t="s">
        <v>145</v>
      </c>
      <c r="AK5" s="11" t="s">
        <v>145</v>
      </c>
      <c r="AL5" s="11" t="s">
        <v>145</v>
      </c>
      <c r="AM5" s="1"/>
      <c r="AN5" s="1"/>
      <c r="AO5" s="393"/>
      <c r="AP5" s="394"/>
      <c r="AQ5" s="388" t="s">
        <v>146</v>
      </c>
      <c r="AR5" s="382"/>
      <c r="AS5" s="382"/>
      <c r="AT5" s="383"/>
      <c r="AU5" s="16"/>
      <c r="AV5" s="24">
        <f>'5. RESULTAT'!K40</f>
        <v>181000000</v>
      </c>
      <c r="AW5" s="10"/>
      <c r="AX5" s="387"/>
      <c r="AY5" s="1" t="s">
        <v>147</v>
      </c>
      <c r="AZ5" s="1" t="s">
        <v>148</v>
      </c>
      <c r="BA5" s="1" t="s">
        <v>149</v>
      </c>
      <c r="BB5" s="1" t="s">
        <v>150</v>
      </c>
      <c r="BC5" s="1" t="s">
        <v>151</v>
      </c>
      <c r="BD5" s="1"/>
      <c r="BE5" s="1"/>
      <c r="BF5" s="1"/>
      <c r="BG5" s="1" t="str">
        <f>IF(AX4&gt;4,AY5,IF(AND(AX4&lt;=4,AX4&gt;=2),AZ5,IF(AND(AX4&lt;2,AX4&gt;=1.5),BA5,IF(AND(AX4&lt;1.5,AX4&gt;=1),BB5,IF(AX4&lt;1,BC5,"")))))</f>
        <v>La couverture de l'échéance est acceptable mais trop juste. Le risque d'impayé est à prendre en compte.</v>
      </c>
      <c r="BH5" s="1"/>
      <c r="BI5" s="1" t="str">
        <f>IF('5. RESULTAT'!K33&lt;0,"Attention ! La capacité de rembourssement est négative - veuillez échanger avec le client",IF('8. PROPOSITION'!M13="","",BG6))</f>
        <v/>
      </c>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t="s">
        <v>35</v>
      </c>
      <c r="CN5" s="1">
        <f>IF('5. RESULTAT'!D20="Prélèvement de l'exploitant",'5. RESULTAT'!K20,0)</f>
        <v>0</v>
      </c>
      <c r="CO5" s="1"/>
      <c r="CP5" s="23" t="s">
        <v>152</v>
      </c>
      <c r="CQ5" s="11"/>
      <c r="CR5" s="11"/>
      <c r="CS5" s="11"/>
      <c r="CT5" s="11"/>
    </row>
    <row r="6" spans="1:98" ht="16.5" customHeight="1" x14ac:dyDescent="0.3">
      <c r="A6" s="1">
        <v>6</v>
      </c>
      <c r="B6" s="2" t="s">
        <v>153</v>
      </c>
      <c r="C6" s="1"/>
      <c r="D6" s="1"/>
      <c r="E6" s="1"/>
      <c r="F6" s="17">
        <f>IF(OR('1. DEMANDE'!G30="COMMERCE",'1. DEMANDE'!G30="SERVICE"),F5,IF('1. DEMANDE'!R30="Production_végétale",F2,IF('1. DEMANDE'!R30="Production_animale",F3,IF(OR('1. DEMANDE'!R30="Transformation",'1. DEMANDE'!G30="ARTISANAT",'1. DEMANDE'!G30="INDUSTRIE"),F4,IF('1. DEMANDE'!R30="Commercialisation",F5,0)))))</f>
        <v>922680000</v>
      </c>
      <c r="G6" s="17">
        <f>IF(OR('1. DEMANDE'!G30="COMMERCE",'1. DEMANDE'!G30="SERVICE"),G5,IF('1. DEMANDE'!R30="Production_végétale",G2,IF('1. DEMANDE'!R30="Production_animale",G3,IF(OR('1. DEMANDE'!R30="Transformation",'1. DEMANDE'!G30="ARTISANAT",'1. DEMANDE'!G30="INDUSTRIE"),G4,IF('1. DEMANDE'!R30="Commercialisation",G5,0)))))</f>
        <v>1700000000</v>
      </c>
      <c r="H6" s="1"/>
      <c r="I6" s="1"/>
      <c r="J6" s="1"/>
      <c r="K6" s="4" t="s">
        <v>154</v>
      </c>
      <c r="L6" s="5" t="s">
        <v>155</v>
      </c>
      <c r="M6" s="19" t="s">
        <v>156</v>
      </c>
      <c r="N6" s="1">
        <v>6</v>
      </c>
      <c r="O6" s="7" t="s">
        <v>157</v>
      </c>
      <c r="P6" s="1" t="s">
        <v>158</v>
      </c>
      <c r="Q6" s="1" t="s">
        <v>159</v>
      </c>
      <c r="R6" s="1" t="s">
        <v>160</v>
      </c>
      <c r="S6" s="1" t="s">
        <v>161</v>
      </c>
      <c r="T6" s="1" t="s">
        <v>162</v>
      </c>
      <c r="U6" s="1" t="s">
        <v>163</v>
      </c>
      <c r="V6" s="25"/>
      <c r="W6" s="1"/>
      <c r="X6" s="2" t="s">
        <v>164</v>
      </c>
      <c r="Y6" s="1" t="s">
        <v>165</v>
      </c>
      <c r="Z6" s="1" t="s">
        <v>166</v>
      </c>
      <c r="AA6" s="1" t="s">
        <v>167</v>
      </c>
      <c r="AB6" s="1"/>
      <c r="AC6" s="1"/>
      <c r="AD6" s="1" t="s">
        <v>168</v>
      </c>
      <c r="AE6" s="1" t="s">
        <v>169</v>
      </c>
      <c r="AF6" s="1" t="s">
        <v>170</v>
      </c>
      <c r="AG6" s="1"/>
      <c r="AH6" s="1"/>
      <c r="AI6" s="22" t="s">
        <v>171</v>
      </c>
      <c r="AJ6" s="11" t="s">
        <v>172</v>
      </c>
      <c r="AK6" s="11" t="s">
        <v>172</v>
      </c>
      <c r="AL6" s="11" t="s">
        <v>173</v>
      </c>
      <c r="AM6" s="1"/>
      <c r="AN6" s="1"/>
      <c r="AO6" s="391" t="s">
        <v>174</v>
      </c>
      <c r="AP6" s="392"/>
      <c r="AQ6" s="385" t="s">
        <v>175</v>
      </c>
      <c r="AR6" s="382"/>
      <c r="AS6" s="382"/>
      <c r="AT6" s="383"/>
      <c r="AU6" s="16"/>
      <c r="AV6" s="15">
        <f>'5. RESULTAT'!K41</f>
        <v>56000000</v>
      </c>
      <c r="AW6" s="10"/>
      <c r="AX6" s="395">
        <f>'5. RESULTAT'!M41</f>
        <v>2.8</v>
      </c>
      <c r="AY6" s="1" t="s">
        <v>120</v>
      </c>
      <c r="AZ6" s="1" t="s">
        <v>121</v>
      </c>
      <c r="BA6" s="1" t="s">
        <v>122</v>
      </c>
      <c r="BB6" s="1" t="s">
        <v>123</v>
      </c>
      <c r="BC6" s="1" t="s">
        <v>124</v>
      </c>
      <c r="BD6" s="1"/>
      <c r="BE6" s="1"/>
      <c r="BF6" s="1"/>
      <c r="BG6" s="1"/>
      <c r="BH6" s="1"/>
      <c r="BI6" s="1" t="str">
        <f>IF('8. PROPOSITION'!M12="","",BG7)</f>
        <v xml:space="preserve">Bon ratio. Les actifs à court terme surpassent les dettes à moins d'un an et dégagent un surplus important. </v>
      </c>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t="s">
        <v>35</v>
      </c>
      <c r="CN6" s="1">
        <f>IF('5. RESULTAT'!D21="Prélèvement de l'exploitant",'5. RESULTAT'!K21,0)</f>
        <v>0</v>
      </c>
      <c r="CO6" s="1"/>
      <c r="CP6" s="11" t="s">
        <v>176</v>
      </c>
      <c r="CQ6" s="1"/>
      <c r="CR6" s="1"/>
      <c r="CS6" s="1"/>
      <c r="CT6" s="1"/>
    </row>
    <row r="7" spans="1:98" ht="25.5" customHeight="1" x14ac:dyDescent="0.3">
      <c r="A7" s="1"/>
      <c r="B7" s="1"/>
      <c r="C7" s="1"/>
      <c r="D7" s="1"/>
      <c r="E7" s="1"/>
      <c r="F7" s="1"/>
      <c r="G7" s="1"/>
      <c r="H7" s="1"/>
      <c r="I7" s="1"/>
      <c r="J7" s="1"/>
      <c r="K7" s="4" t="s">
        <v>177</v>
      </c>
      <c r="L7" s="1"/>
      <c r="M7" s="13" t="s">
        <v>145</v>
      </c>
      <c r="N7" s="1">
        <v>7</v>
      </c>
      <c r="O7" s="7" t="s">
        <v>178</v>
      </c>
      <c r="P7" s="1" t="s">
        <v>179</v>
      </c>
      <c r="Q7" s="1" t="s">
        <v>180</v>
      </c>
      <c r="R7" s="1" t="s">
        <v>181</v>
      </c>
      <c r="S7" s="1" t="s">
        <v>182</v>
      </c>
      <c r="T7" s="1" t="s">
        <v>183</v>
      </c>
      <c r="U7" s="1" t="s">
        <v>184</v>
      </c>
      <c r="V7" s="25"/>
      <c r="W7" s="1"/>
      <c r="X7" s="1" t="s">
        <v>185</v>
      </c>
      <c r="Y7" s="1" t="s">
        <v>186</v>
      </c>
      <c r="Z7" s="1"/>
      <c r="AA7" s="1" t="s">
        <v>187</v>
      </c>
      <c r="AB7" s="1"/>
      <c r="AC7" s="1"/>
      <c r="AD7" s="1" t="s">
        <v>188</v>
      </c>
      <c r="AE7" s="1" t="s">
        <v>189</v>
      </c>
      <c r="AF7" s="1" t="s">
        <v>25</v>
      </c>
      <c r="AG7" s="1"/>
      <c r="AH7" s="1"/>
      <c r="AI7" s="11" t="s">
        <v>156</v>
      </c>
      <c r="AJ7" s="11" t="s">
        <v>173</v>
      </c>
      <c r="AK7" s="11" t="s">
        <v>173</v>
      </c>
      <c r="AL7" s="11" t="s">
        <v>190</v>
      </c>
      <c r="AM7" s="1"/>
      <c r="AN7" s="1"/>
      <c r="AO7" s="393"/>
      <c r="AP7" s="394"/>
      <c r="AQ7" s="388" t="s">
        <v>191</v>
      </c>
      <c r="AR7" s="382"/>
      <c r="AS7" s="382"/>
      <c r="AT7" s="382"/>
      <c r="AU7" s="383"/>
      <c r="AV7" s="24">
        <f>'5. RESULTAT'!K42</f>
        <v>20000000</v>
      </c>
      <c r="AW7" s="10"/>
      <c r="AX7" s="387"/>
      <c r="AY7" s="1" t="s">
        <v>192</v>
      </c>
      <c r="AZ7" s="1" t="s">
        <v>193</v>
      </c>
      <c r="BA7" s="1" t="s">
        <v>193</v>
      </c>
      <c r="BB7" s="1" t="s">
        <v>194</v>
      </c>
      <c r="BC7" s="1" t="s">
        <v>195</v>
      </c>
      <c r="BD7" s="1"/>
      <c r="BE7" s="1"/>
      <c r="BF7" s="1"/>
      <c r="BG7" s="1" t="str">
        <f>IF(AX6&gt;4,AY7,IF(AND(AX6&lt;=4,AX6&gt;=2),AZ7,IF(AND(AX6&lt;2,AX6&gt;=1.5),BA7,IF(AND(AX6&lt;1.5,AX6&gt;=1),BB7,IF(AX6&lt;1,BC7,"")))))</f>
        <v xml:space="preserve">Bon ratio. Les actifs à court terme surpassent les dettes à moins d'un an et dégagent un surplus important. </v>
      </c>
      <c r="BH7" s="1"/>
      <c r="BI7" s="1" t="str">
        <f>IF('5. RESULTAT'!K35&lt;0,"Attention ! La capacité de rembourssement est négative - veuillez échanger avec le client",IF('8. PROPOSITION'!M15="","",BG8))</f>
        <v/>
      </c>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t="s">
        <v>35</v>
      </c>
      <c r="CN7" s="1">
        <f>IF('5. RESULTAT'!D22="Prélèvement de l'exploitant",'5. RESULTAT'!K22,0)</f>
        <v>0</v>
      </c>
      <c r="CO7" s="1"/>
      <c r="CP7" s="1"/>
      <c r="CQ7" s="1"/>
      <c r="CR7" s="1"/>
      <c r="CS7" s="1"/>
      <c r="CT7" s="1"/>
    </row>
    <row r="8" spans="1:98" ht="24" customHeight="1" x14ac:dyDescent="0.3">
      <c r="A8" s="1"/>
      <c r="B8" s="1"/>
      <c r="C8" s="1"/>
      <c r="D8" s="1"/>
      <c r="E8" s="1"/>
      <c r="F8" s="1"/>
      <c r="G8" s="1"/>
      <c r="H8" s="1"/>
      <c r="I8" s="1"/>
      <c r="J8" s="1"/>
      <c r="K8" s="4" t="s">
        <v>196</v>
      </c>
      <c r="L8" s="1" t="s">
        <v>197</v>
      </c>
      <c r="M8" s="19" t="s">
        <v>198</v>
      </c>
      <c r="N8" s="1"/>
      <c r="O8" s="7" t="s">
        <v>199</v>
      </c>
      <c r="P8" s="1"/>
      <c r="Q8" s="1" t="s">
        <v>200</v>
      </c>
      <c r="R8" s="1" t="s">
        <v>201</v>
      </c>
      <c r="S8" s="1" t="s">
        <v>202</v>
      </c>
      <c r="T8" s="1"/>
      <c r="U8" s="1"/>
      <c r="V8" s="1"/>
      <c r="W8" s="1"/>
      <c r="X8" s="1"/>
      <c r="Y8" s="1" t="s">
        <v>203</v>
      </c>
      <c r="Z8" s="1"/>
      <c r="AA8" s="1" t="s">
        <v>204</v>
      </c>
      <c r="AB8" s="1"/>
      <c r="AC8" s="1"/>
      <c r="AD8" s="1" t="s">
        <v>25</v>
      </c>
      <c r="AE8" s="1" t="s">
        <v>115</v>
      </c>
      <c r="AF8" s="1"/>
      <c r="AG8" s="1"/>
      <c r="AH8" s="1"/>
      <c r="AI8" s="22" t="s">
        <v>205</v>
      </c>
      <c r="AJ8" s="11" t="s">
        <v>190</v>
      </c>
      <c r="AK8" s="11" t="s">
        <v>190</v>
      </c>
      <c r="AL8" s="11" t="s">
        <v>206</v>
      </c>
      <c r="AM8" s="1"/>
      <c r="AN8" s="1"/>
      <c r="AO8" s="391" t="s">
        <v>207</v>
      </c>
      <c r="AP8" s="392"/>
      <c r="AQ8" s="385" t="s">
        <v>208</v>
      </c>
      <c r="AR8" s="382"/>
      <c r="AS8" s="382"/>
      <c r="AT8" s="383"/>
      <c r="AU8" s="16"/>
      <c r="AV8" s="15">
        <f>'5. RESULTAT'!K43</f>
        <v>20000000</v>
      </c>
      <c r="AW8" s="10"/>
      <c r="AX8" s="395">
        <f>'5. RESULTAT'!M43</f>
        <v>1.7050298380221655E-2</v>
      </c>
      <c r="AY8" s="1" t="s">
        <v>209</v>
      </c>
      <c r="AZ8" s="1" t="s">
        <v>210</v>
      </c>
      <c r="BA8" s="1" t="s">
        <v>210</v>
      </c>
      <c r="BB8" s="1" t="s">
        <v>211</v>
      </c>
      <c r="BC8" s="1" t="s">
        <v>212</v>
      </c>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t="s">
        <v>35</v>
      </c>
      <c r="CN8" s="1">
        <f>IF('5. RESULTAT'!D23="Prélèvement de l'exploitant",'5. RESULTAT'!K23,0)</f>
        <v>0</v>
      </c>
      <c r="CO8" s="1"/>
      <c r="CP8" s="1"/>
      <c r="CQ8" s="1"/>
      <c r="CR8" s="1"/>
      <c r="CS8" s="1"/>
      <c r="CT8" s="1"/>
    </row>
    <row r="9" spans="1:98" ht="15.6" x14ac:dyDescent="0.3">
      <c r="A9" s="1"/>
      <c r="B9" s="1"/>
      <c r="C9" s="1"/>
      <c r="D9" s="1"/>
      <c r="E9" s="1"/>
      <c r="F9" s="1"/>
      <c r="G9" s="1"/>
      <c r="H9" s="1"/>
      <c r="I9" s="1"/>
      <c r="J9" s="1"/>
      <c r="K9" s="4" t="s">
        <v>213</v>
      </c>
      <c r="L9" s="5" t="s">
        <v>5</v>
      </c>
      <c r="M9" s="19" t="s">
        <v>172</v>
      </c>
      <c r="N9" s="1"/>
      <c r="O9" s="7" t="s">
        <v>214</v>
      </c>
      <c r="P9" s="1"/>
      <c r="Q9" s="1" t="s">
        <v>215</v>
      </c>
      <c r="R9" s="1" t="s">
        <v>216</v>
      </c>
      <c r="S9" s="1" t="s">
        <v>217</v>
      </c>
      <c r="T9" s="1"/>
      <c r="U9" s="1"/>
      <c r="V9" s="1"/>
      <c r="W9" s="1"/>
      <c r="X9" s="1"/>
      <c r="Y9" s="1" t="s">
        <v>218</v>
      </c>
      <c r="Z9" s="1"/>
      <c r="AA9" s="1" t="s">
        <v>219</v>
      </c>
      <c r="AB9" s="1"/>
      <c r="AC9" s="1"/>
      <c r="AD9" s="1"/>
      <c r="AE9" s="1" t="s">
        <v>25</v>
      </c>
      <c r="AF9" s="1"/>
      <c r="AG9" s="1"/>
      <c r="AH9" s="1"/>
      <c r="AI9" s="22" t="s">
        <v>25</v>
      </c>
      <c r="AJ9" s="11" t="s">
        <v>206</v>
      </c>
      <c r="AK9" s="11" t="s">
        <v>206</v>
      </c>
      <c r="AL9" s="11" t="s">
        <v>220</v>
      </c>
      <c r="AM9" s="1"/>
      <c r="AN9" s="1"/>
      <c r="AO9" s="393"/>
      <c r="AP9" s="394"/>
      <c r="AQ9" s="388" t="s">
        <v>221</v>
      </c>
      <c r="AR9" s="382"/>
      <c r="AS9" s="382"/>
      <c r="AT9" s="382"/>
      <c r="AU9" s="383"/>
      <c r="AV9" s="24">
        <f>'5. RESULTAT'!K44</f>
        <v>1173000000</v>
      </c>
      <c r="AW9" s="10"/>
      <c r="AX9" s="387"/>
      <c r="AY9" s="1" t="s">
        <v>222</v>
      </c>
      <c r="AZ9" s="1" t="s">
        <v>223</v>
      </c>
      <c r="BA9" s="1"/>
      <c r="BB9" s="1" t="s">
        <v>224</v>
      </c>
      <c r="BC9" s="1" t="s">
        <v>225</v>
      </c>
      <c r="BD9" s="1"/>
      <c r="BE9" s="1"/>
      <c r="BF9" s="1" t="str">
        <f>IF('3. BILAN'!I37&lt;0,"Attention, les fonds propres sont négatifs. Il faut échanger avec le client.",'.'!BG9)</f>
        <v>Excellent ratio de solvabilité. Les dettes de l'entreprise sont très faibles par rapport aux fonds propres</v>
      </c>
      <c r="BG9" s="1" t="str">
        <f>IF(AX8&lt;0.1,AY9,IF(AND(AX8&gt;=0.1,AX8&lt;=0.5),AZ9,IF(AND(AX8&gt;0.5,AX8&lt;=1),BB9,IF(AX8&gt;1,BC9,""))))</f>
        <v>Excellent ratio de solvabilité. Les dettes de l'entreprise sont très faibles par rapport aux fonds propres</v>
      </c>
      <c r="BH9" s="1"/>
      <c r="BI9" s="1" t="str">
        <f>IF('8. PROPOSITION'!M12="","",BF9)</f>
        <v>Excellent ratio de solvabilité. Les dettes de l'entreprise sont très faibles par rapport aux fonds propres</v>
      </c>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t="s">
        <v>35</v>
      </c>
      <c r="CN9" s="1">
        <f>IF('5. RESULTAT'!D24="Prélèvement de l'exploitant",'5. RESULTAT'!K24,0)</f>
        <v>0</v>
      </c>
      <c r="CO9" s="1"/>
      <c r="CP9" s="1"/>
      <c r="CQ9" s="1"/>
      <c r="CR9" s="1"/>
      <c r="CS9" s="1"/>
      <c r="CT9" s="1"/>
    </row>
    <row r="10" spans="1:98" ht="15.6" x14ac:dyDescent="0.3">
      <c r="A10" s="1"/>
      <c r="B10" s="1"/>
      <c r="C10" s="1"/>
      <c r="D10" s="1"/>
      <c r="E10" s="1"/>
      <c r="F10" s="1"/>
      <c r="G10" s="1"/>
      <c r="H10" s="1"/>
      <c r="I10" s="1"/>
      <c r="J10" s="1"/>
      <c r="K10" s="4" t="s">
        <v>226</v>
      </c>
      <c r="L10" s="5" t="s">
        <v>41</v>
      </c>
      <c r="M10" s="13" t="s">
        <v>227</v>
      </c>
      <c r="N10" s="1"/>
      <c r="O10" s="7" t="s">
        <v>228</v>
      </c>
      <c r="P10" s="1"/>
      <c r="Q10" s="1" t="s">
        <v>229</v>
      </c>
      <c r="R10" s="1"/>
      <c r="S10" s="1"/>
      <c r="T10" s="1"/>
      <c r="U10" s="1"/>
      <c r="V10" s="1"/>
      <c r="W10" s="1"/>
      <c r="X10" s="1"/>
      <c r="Y10" s="1" t="s">
        <v>230</v>
      </c>
      <c r="Z10" s="1"/>
      <c r="AA10" s="1" t="s">
        <v>231</v>
      </c>
      <c r="AB10" s="1"/>
      <c r="AC10" s="1"/>
      <c r="AD10" s="1"/>
      <c r="AE10" s="1"/>
      <c r="AF10" s="1"/>
      <c r="AG10" s="1"/>
      <c r="AH10" s="1"/>
      <c r="AI10" s="22"/>
      <c r="AJ10" s="11" t="s">
        <v>220</v>
      </c>
      <c r="AK10" s="11" t="s">
        <v>220</v>
      </c>
      <c r="AL10" s="11" t="s">
        <v>232</v>
      </c>
      <c r="AM10" s="1"/>
      <c r="AN10" s="1"/>
      <c r="AO10" s="391" t="s">
        <v>233</v>
      </c>
      <c r="AP10" s="392"/>
      <c r="AQ10" s="385" t="s">
        <v>234</v>
      </c>
      <c r="AR10" s="382"/>
      <c r="AS10" s="382"/>
      <c r="AT10" s="383"/>
      <c r="AU10" s="16"/>
      <c r="AV10" s="15">
        <f>'5. RESULTAT'!K45</f>
        <v>36000000</v>
      </c>
      <c r="AW10" s="10"/>
      <c r="AX10" s="395">
        <f>'5. RESULTAT'!M45</f>
        <v>1.8</v>
      </c>
      <c r="AY10" s="1" t="s">
        <v>120</v>
      </c>
      <c r="AZ10" s="1" t="s">
        <v>121</v>
      </c>
      <c r="BA10" s="1" t="s">
        <v>235</v>
      </c>
      <c r="BB10" s="1" t="s">
        <v>236</v>
      </c>
      <c r="BC10" s="1" t="s">
        <v>237</v>
      </c>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t="s">
        <v>35</v>
      </c>
      <c r="CN10" s="1">
        <f>IF('5. RESULTAT'!D25="Prélèvement de l'exploitant",'5. RESULTAT'!K25,0)</f>
        <v>0</v>
      </c>
      <c r="CO10" s="1"/>
      <c r="CP10" s="1"/>
      <c r="CQ10" s="1"/>
      <c r="CR10" s="1"/>
      <c r="CS10" s="1"/>
      <c r="CT10" s="1"/>
    </row>
    <row r="11" spans="1:98" ht="26.25" customHeight="1" x14ac:dyDescent="0.3">
      <c r="A11" s="1"/>
      <c r="B11" s="1"/>
      <c r="C11" s="1"/>
      <c r="D11" s="1"/>
      <c r="E11" s="1"/>
      <c r="F11" s="1"/>
      <c r="G11" s="1"/>
      <c r="H11" s="1"/>
      <c r="I11" s="1"/>
      <c r="J11" s="1"/>
      <c r="K11" s="4" t="s">
        <v>238</v>
      </c>
      <c r="L11" s="5" t="s">
        <v>73</v>
      </c>
      <c r="M11" s="19" t="s">
        <v>173</v>
      </c>
      <c r="N11" s="1"/>
      <c r="O11" s="7" t="s">
        <v>239</v>
      </c>
      <c r="P11" s="1"/>
      <c r="Q11" s="1"/>
      <c r="R11" s="1"/>
      <c r="S11" s="1"/>
      <c r="T11" s="1"/>
      <c r="U11" s="1"/>
      <c r="V11" s="1"/>
      <c r="W11" s="1"/>
      <c r="X11" s="1"/>
      <c r="Y11" s="1"/>
      <c r="Z11" s="1"/>
      <c r="AA11" s="1"/>
      <c r="AB11" s="1"/>
      <c r="AC11" s="1"/>
      <c r="AD11" s="1"/>
      <c r="AE11" s="1"/>
      <c r="AF11" s="1"/>
      <c r="AG11" s="1"/>
      <c r="AH11" s="1"/>
      <c r="AI11" s="22"/>
      <c r="AJ11" s="11" t="s">
        <v>232</v>
      </c>
      <c r="AK11" s="11" t="s">
        <v>240</v>
      </c>
      <c r="AL11" s="11" t="s">
        <v>240</v>
      </c>
      <c r="AM11" s="1"/>
      <c r="AN11" s="1"/>
      <c r="AO11" s="393"/>
      <c r="AP11" s="394"/>
      <c r="AQ11" s="388" t="s">
        <v>191</v>
      </c>
      <c r="AR11" s="382"/>
      <c r="AS11" s="382"/>
      <c r="AT11" s="382"/>
      <c r="AU11" s="383"/>
      <c r="AV11" s="24">
        <f>'5. RESULTAT'!K46</f>
        <v>20000000</v>
      </c>
      <c r="AW11" s="10"/>
      <c r="AX11" s="387"/>
      <c r="AY11" s="1" t="s">
        <v>241</v>
      </c>
      <c r="AZ11" s="1" t="s">
        <v>242</v>
      </c>
      <c r="BA11" s="1" t="s">
        <v>243</v>
      </c>
      <c r="BB11" s="1" t="s">
        <v>244</v>
      </c>
      <c r="BC11" s="1" t="s">
        <v>245</v>
      </c>
      <c r="BD11" s="1"/>
      <c r="BE11" s="1"/>
      <c r="BF11" s="1"/>
      <c r="BG11" s="1" t="str">
        <f>IF(AX10&gt;4,AY11,IF(AND(AX10&lt;=4,AX10&gt;=2),AZ11,IF(AND(AX10&lt;2,AX10&gt;=1),BA11,IF(AND(AX10&lt;1,AX10&gt;=0.75),BB11,IF(AX10&lt;0.75,BC11,"")))))</f>
        <v>Ratio respectant la norme. Les dettes à moins d'un an seront réglées.</v>
      </c>
      <c r="BH11" s="1"/>
      <c r="BI11" s="1" t="str">
        <f>IF('8. PROPOSITION'!M12="","",BG11)</f>
        <v>Ratio respectant la norme. Les dettes à moins d'un an seront réglées.</v>
      </c>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t="s">
        <v>35</v>
      </c>
      <c r="CN11" s="1">
        <f>IF('5. RESULTAT'!D26="Prélèvement de l'exploitant",'5. RESULTAT'!K26,0)</f>
        <v>0</v>
      </c>
      <c r="CO11" s="1"/>
      <c r="CP11" s="1"/>
      <c r="CQ11" s="1"/>
      <c r="CR11" s="1"/>
      <c r="CS11" s="1"/>
      <c r="CT11" s="1"/>
    </row>
    <row r="12" spans="1:98" ht="15.6" x14ac:dyDescent="0.3">
      <c r="A12" s="1"/>
      <c r="B12" s="1" t="s">
        <v>246</v>
      </c>
      <c r="C12" s="26" t="s">
        <v>247</v>
      </c>
      <c r="D12" s="1" t="s">
        <v>248</v>
      </c>
      <c r="E12" s="1"/>
      <c r="F12" s="1" t="s">
        <v>248</v>
      </c>
      <c r="G12" s="1" t="s">
        <v>248</v>
      </c>
      <c r="H12" s="1" t="s">
        <v>248</v>
      </c>
      <c r="I12" s="1" t="s">
        <v>248</v>
      </c>
      <c r="J12" s="1"/>
      <c r="K12" s="4" t="s">
        <v>249</v>
      </c>
      <c r="L12" s="5" t="s">
        <v>32</v>
      </c>
      <c r="M12" s="19" t="s">
        <v>190</v>
      </c>
      <c r="N12" s="1"/>
      <c r="O12" s="7" t="s">
        <v>250</v>
      </c>
      <c r="P12" s="1"/>
      <c r="Q12" s="1"/>
      <c r="R12" s="1"/>
      <c r="S12" s="1"/>
      <c r="T12" s="1"/>
      <c r="U12" s="1"/>
      <c r="V12" s="1"/>
      <c r="W12" s="1"/>
      <c r="X12" s="1"/>
      <c r="Y12" s="1"/>
      <c r="Z12" s="1"/>
      <c r="AA12" s="1"/>
      <c r="AB12" s="1"/>
      <c r="AC12" s="1"/>
      <c r="AD12" s="1"/>
      <c r="AE12" s="1"/>
      <c r="AF12" s="1"/>
      <c r="AG12" s="1"/>
      <c r="AH12" s="1"/>
      <c r="AI12" s="22"/>
      <c r="AJ12" s="11" t="s">
        <v>240</v>
      </c>
      <c r="AK12" s="11" t="s">
        <v>251</v>
      </c>
      <c r="AL12" s="11" t="s">
        <v>252</v>
      </c>
      <c r="AM12" s="1"/>
      <c r="AN12" s="1"/>
      <c r="AO12" s="391" t="s">
        <v>253</v>
      </c>
      <c r="AP12" s="392"/>
      <c r="AQ12" s="385" t="s">
        <v>254</v>
      </c>
      <c r="AR12" s="382"/>
      <c r="AS12" s="382"/>
      <c r="AT12" s="383"/>
      <c r="AU12" s="16"/>
      <c r="AV12" s="15">
        <f>'5. RESULTAT'!K47</f>
        <v>320000000</v>
      </c>
      <c r="AW12" s="10"/>
      <c r="AX12" s="386">
        <f>'5. RESULTAT'!M47</f>
        <v>0.21433355659745479</v>
      </c>
      <c r="AY12" s="1" t="s">
        <v>255</v>
      </c>
      <c r="AZ12" s="1" t="s">
        <v>256</v>
      </c>
      <c r="BA12" s="1" t="s">
        <v>257</v>
      </c>
      <c r="BB12" s="1" t="s">
        <v>258</v>
      </c>
      <c r="BC12" s="1" t="s">
        <v>96</v>
      </c>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3" t="s">
        <v>259</v>
      </c>
      <c r="CN12" s="3">
        <f>CN1+CN2+CN3+CN4+CN5+CN6+CN7+CN8+CN9+CN10+CN11</f>
        <v>0</v>
      </c>
      <c r="CO12" s="1"/>
      <c r="CP12" s="1"/>
      <c r="CQ12" s="1"/>
      <c r="CR12" s="1"/>
      <c r="CS12" s="1"/>
      <c r="CT12" s="1"/>
    </row>
    <row r="13" spans="1:98" ht="18" customHeight="1" x14ac:dyDescent="0.3">
      <c r="A13" s="1"/>
      <c r="B13" s="27" t="str">
        <f>'7. RISQUE'!B13</f>
        <v xml:space="preserve">A. Direction 
Compétences, expériences, qualité morale, stabilité sociale..  </v>
      </c>
      <c r="C13" s="28">
        <f>IF('7. RISQUE'!$B$23="Veuillez noter tous les critères de risques !",0,'7. RISQUE'!H13)</f>
        <v>1</v>
      </c>
      <c r="D13" s="1">
        <v>6</v>
      </c>
      <c r="E13" s="1" t="s">
        <v>248</v>
      </c>
      <c r="F13" s="1">
        <v>4</v>
      </c>
      <c r="G13" s="1">
        <v>3</v>
      </c>
      <c r="H13" s="1">
        <v>2</v>
      </c>
      <c r="I13" s="1">
        <v>1</v>
      </c>
      <c r="J13" s="1"/>
      <c r="K13" s="4" t="s">
        <v>260</v>
      </c>
      <c r="L13" s="5" t="s">
        <v>128</v>
      </c>
      <c r="M13" s="19" t="s">
        <v>261</v>
      </c>
      <c r="N13" s="1"/>
      <c r="O13" s="1"/>
      <c r="P13" s="1"/>
      <c r="Q13" s="1"/>
      <c r="R13" s="1"/>
      <c r="S13" s="1"/>
      <c r="T13" s="17">
        <f>'8. PROPOSITION'!M12</f>
        <v>300000000</v>
      </c>
      <c r="U13" s="1">
        <f>T13/'8. PROPOSITION'!M20</f>
        <v>100000000</v>
      </c>
      <c r="V13" s="1"/>
      <c r="W13" s="1"/>
      <c r="X13" s="1"/>
      <c r="Y13" s="1"/>
      <c r="Z13" s="1"/>
      <c r="AA13" s="1"/>
      <c r="AB13" s="1"/>
      <c r="AC13" s="1"/>
      <c r="AD13" s="1"/>
      <c r="AE13" s="1"/>
      <c r="AF13" s="1"/>
      <c r="AG13" s="1"/>
      <c r="AH13" s="1"/>
      <c r="AI13" s="22"/>
      <c r="AJ13" s="11" t="s">
        <v>251</v>
      </c>
      <c r="AK13" s="11" t="s">
        <v>252</v>
      </c>
      <c r="AL13" s="11" t="s">
        <v>262</v>
      </c>
      <c r="AM13" s="1"/>
      <c r="AN13" s="1"/>
      <c r="AO13" s="393"/>
      <c r="AP13" s="394"/>
      <c r="AQ13" s="388" t="s">
        <v>263</v>
      </c>
      <c r="AR13" s="382"/>
      <c r="AS13" s="382"/>
      <c r="AT13" s="382"/>
      <c r="AU13" s="383"/>
      <c r="AV13" s="24">
        <f>'5. RESULTAT'!K48</f>
        <v>1493000000</v>
      </c>
      <c r="AW13" s="10"/>
      <c r="AX13" s="387"/>
      <c r="AY13" s="1" t="s">
        <v>264</v>
      </c>
      <c r="AZ13" s="1" t="s">
        <v>265</v>
      </c>
      <c r="BA13" s="1" t="s">
        <v>266</v>
      </c>
      <c r="BB13" s="1" t="s">
        <v>267</v>
      </c>
      <c r="BC13" s="1" t="s">
        <v>268</v>
      </c>
      <c r="BD13" s="1"/>
      <c r="BE13" s="1"/>
      <c r="BF13" s="1"/>
      <c r="BG13" s="1" t="str">
        <f>IF(AX12&lt;10%,AY13,IF(AND(AX12&gt;=10%,AX12&lt;25%),AZ13,IF(AND(AX12&gt;=25%,AX12&lt;65%),BA13,IF(AND(AX12&gt;65%,AX12&lt;=100%),BB13,IF(AX12&gt;100%,BC13,"")))))</f>
        <v>Niveau d'endettement faible pour l'entreprise. Elle possède une bonne marge pour s'endetter davantage.</v>
      </c>
      <c r="BH13" s="1"/>
      <c r="BI13" s="1" t="str">
        <f>IF('8. PROPOSITION'!M12="","",BG13)</f>
        <v>Niveau d'endettement faible pour l'entreprise. Elle possède une bonne marge pour s'endetter davantage.</v>
      </c>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ht="166.5" customHeight="1" x14ac:dyDescent="0.3">
      <c r="A14" s="1"/>
      <c r="B14" s="27" t="str">
        <f>'7. RISQUE'!B14</f>
        <v>B. Historique de crédits et scoring de remboursement</v>
      </c>
      <c r="C14" s="28">
        <f>IF('7. RISQUE'!$B$23="Veuillez noter tous les critères de risques !",0,'7. RISQUE'!H14)</f>
        <v>4</v>
      </c>
      <c r="D14" s="1">
        <v>6</v>
      </c>
      <c r="E14" s="1">
        <v>5</v>
      </c>
      <c r="F14" s="1">
        <v>4</v>
      </c>
      <c r="G14" s="1">
        <v>3</v>
      </c>
      <c r="H14" s="1">
        <v>2</v>
      </c>
      <c r="I14" s="1">
        <v>1</v>
      </c>
      <c r="J14" s="1"/>
      <c r="K14" s="4" t="s">
        <v>269</v>
      </c>
      <c r="L14" s="5" t="s">
        <v>155</v>
      </c>
      <c r="M14" s="19" t="s">
        <v>220</v>
      </c>
      <c r="N14" s="1"/>
      <c r="O14" s="1"/>
      <c r="P14" s="1"/>
      <c r="Q14" s="1"/>
      <c r="R14" s="1"/>
      <c r="S14" s="1"/>
      <c r="T14" s="1"/>
      <c r="U14" s="1"/>
      <c r="V14" s="1"/>
      <c r="W14" s="1"/>
      <c r="X14" s="1"/>
      <c r="Y14" s="1"/>
      <c r="Z14" s="1"/>
      <c r="AA14" s="1"/>
      <c r="AB14" s="1"/>
      <c r="AC14" s="1"/>
      <c r="AD14" s="1"/>
      <c r="AE14" s="1"/>
      <c r="AF14" s="1"/>
      <c r="AG14" s="1"/>
      <c r="AH14" s="1"/>
      <c r="AI14" s="22"/>
      <c r="AJ14" s="11" t="s">
        <v>252</v>
      </c>
      <c r="AK14" s="11" t="s">
        <v>262</v>
      </c>
      <c r="AL14" s="11" t="s">
        <v>270</v>
      </c>
      <c r="AM14" s="1"/>
      <c r="AN14" s="1"/>
      <c r="AO14" s="391" t="s">
        <v>271</v>
      </c>
      <c r="AP14" s="392"/>
      <c r="AQ14" s="385" t="s">
        <v>272</v>
      </c>
      <c r="AR14" s="382"/>
      <c r="AS14" s="382"/>
      <c r="AT14" s="383"/>
      <c r="AU14" s="16"/>
      <c r="AV14" s="15">
        <f>'5. RESULTAT'!K49</f>
        <v>450800000</v>
      </c>
      <c r="AW14" s="10"/>
      <c r="AX14" s="386">
        <f>'5. RESULTAT'!M49</f>
        <v>0.36581526166989636</v>
      </c>
      <c r="AY14" s="1" t="s">
        <v>273</v>
      </c>
      <c r="AZ14" s="1" t="s">
        <v>274</v>
      </c>
      <c r="BA14" s="1"/>
      <c r="BB14" s="1" t="s">
        <v>258</v>
      </c>
      <c r="BC14" s="1" t="s">
        <v>96</v>
      </c>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ht="58.5" customHeight="1" x14ac:dyDescent="0.3">
      <c r="A15" s="1"/>
      <c r="B15" s="27" t="str">
        <f>'7. RISQUE'!B15</f>
        <v>C. Accès aux intrants</v>
      </c>
      <c r="C15" s="28">
        <f>IF('7. RISQUE'!$B$23="Veuillez noter tous les critères de risques !",0,'7. RISQUE'!H15)</f>
        <v>2</v>
      </c>
      <c r="D15" s="1">
        <v>6</v>
      </c>
      <c r="E15" s="1">
        <v>5</v>
      </c>
      <c r="F15" s="1">
        <v>4</v>
      </c>
      <c r="G15" s="1">
        <v>3</v>
      </c>
      <c r="H15" s="1">
        <v>2</v>
      </c>
      <c r="I15" s="1">
        <v>1</v>
      </c>
      <c r="J15" s="1"/>
      <c r="K15" s="4" t="s">
        <v>275</v>
      </c>
      <c r="L15" s="1"/>
      <c r="M15" s="19" t="s">
        <v>232</v>
      </c>
      <c r="N15" s="1"/>
      <c r="O15" s="1"/>
      <c r="P15" s="1"/>
      <c r="Q15" s="1"/>
      <c r="R15" s="1"/>
      <c r="S15" s="1"/>
      <c r="T15" s="1"/>
      <c r="U15" s="1"/>
      <c r="V15" s="1"/>
      <c r="W15" s="1"/>
      <c r="X15" s="1"/>
      <c r="Y15" s="1"/>
      <c r="Z15" s="1"/>
      <c r="AA15" s="1"/>
      <c r="AB15" s="1"/>
      <c r="AC15" s="1"/>
      <c r="AD15" s="1"/>
      <c r="AE15" s="1"/>
      <c r="AF15" s="1"/>
      <c r="AG15" s="1"/>
      <c r="AH15" s="1"/>
      <c r="AI15" s="22"/>
      <c r="AJ15" s="11" t="s">
        <v>262</v>
      </c>
      <c r="AK15" s="11" t="s">
        <v>270</v>
      </c>
      <c r="AL15" s="22" t="s">
        <v>25</v>
      </c>
      <c r="AM15" s="1"/>
      <c r="AN15" s="1"/>
      <c r="AO15" s="393"/>
      <c r="AP15" s="394"/>
      <c r="AQ15" s="388" t="s">
        <v>276</v>
      </c>
      <c r="AR15" s="382"/>
      <c r="AS15" s="382"/>
      <c r="AT15" s="382"/>
      <c r="AU15" s="383"/>
      <c r="AV15" s="24">
        <f>'5. RESULTAT'!K50</f>
        <v>1232316000</v>
      </c>
      <c r="AW15" s="10"/>
      <c r="AX15" s="387"/>
      <c r="AY15" s="1" t="s">
        <v>277</v>
      </c>
      <c r="AZ15" s="1" t="s">
        <v>278</v>
      </c>
      <c r="BA15" s="1"/>
      <c r="BB15" s="1" t="s">
        <v>279</v>
      </c>
      <c r="BC15" s="1" t="s">
        <v>280</v>
      </c>
      <c r="BD15" s="1"/>
      <c r="BE15" s="1"/>
      <c r="BF15" s="1" t="str">
        <f>IF('5. RESULTAT'!K29&lt;0,"Le cumul des revenus de cet entrepreneur est négatif - Impossible de couvrir les dépenses familiales.",BG15)</f>
        <v xml:space="preserve">Le niveau de consommation du ménage de l'entrepreneur est dans les normes. </v>
      </c>
      <c r="BG15" s="1" t="str">
        <f>IF(AX14&lt;=35%,AY15,IF(AND(AX14&gt;35%,AX14&lt;=65%),AZ15,IF(AND(AX14&gt;65%,AX14&lt;=100%),BB15,IF(AX14&gt;100%,BC15,""))))</f>
        <v xml:space="preserve">Le niveau de consommation du ménage de l'entrepreneur est dans les normes. </v>
      </c>
      <c r="BH15" s="1"/>
      <c r="BI15" s="1" t="str">
        <f>IF('8. PROPOSITION'!M12="","",BF15)</f>
        <v xml:space="preserve">Le niveau de consommation du ménage de l'entrepreneur est dans les normes. </v>
      </c>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row>
    <row r="16" spans="1:98" ht="15.6" x14ac:dyDescent="0.3">
      <c r="A16" s="1"/>
      <c r="B16" s="27" t="str">
        <f>'7. RISQUE'!B16</f>
        <v>D. Accès et position dans le marché</v>
      </c>
      <c r="C16" s="28">
        <f>IF('7. RISQUE'!$B$23="Veuillez noter tous les critères de risques !",0,'7. RISQUE'!H16)</f>
        <v>3</v>
      </c>
      <c r="D16" s="1">
        <v>6</v>
      </c>
      <c r="E16" s="1">
        <v>5</v>
      </c>
      <c r="F16" s="1">
        <v>4</v>
      </c>
      <c r="G16" s="1">
        <v>3</v>
      </c>
      <c r="H16" s="1">
        <v>2</v>
      </c>
      <c r="I16" s="1">
        <v>1</v>
      </c>
      <c r="J16" s="1"/>
      <c r="K16" s="4" t="s">
        <v>281</v>
      </c>
      <c r="L16" s="1"/>
      <c r="M16" s="19" t="s">
        <v>240</v>
      </c>
      <c r="N16" s="1"/>
      <c r="O16" s="1"/>
      <c r="P16" s="1"/>
      <c r="Q16" s="1"/>
      <c r="R16" s="1"/>
      <c r="S16" s="1"/>
      <c r="T16" s="1"/>
      <c r="U16" s="1"/>
      <c r="V16" s="1"/>
      <c r="W16" s="1"/>
      <c r="X16" s="1"/>
      <c r="Y16" s="1"/>
      <c r="Z16" s="1"/>
      <c r="AA16" s="1"/>
      <c r="AB16" s="1"/>
      <c r="AC16" s="1"/>
      <c r="AD16" s="1"/>
      <c r="AE16" s="1"/>
      <c r="AF16" s="1"/>
      <c r="AG16" s="1"/>
      <c r="AH16" s="1"/>
      <c r="AI16" s="1"/>
      <c r="AJ16" s="11" t="s">
        <v>270</v>
      </c>
      <c r="AK16" s="22" t="s">
        <v>25</v>
      </c>
      <c r="AL16" s="1"/>
      <c r="AM16" s="1"/>
      <c r="AN16" s="1"/>
      <c r="AO16" s="391" t="s">
        <v>282</v>
      </c>
      <c r="AP16" s="392"/>
      <c r="AQ16" s="385" t="s">
        <v>283</v>
      </c>
      <c r="AR16" s="382"/>
      <c r="AS16" s="382"/>
      <c r="AT16" s="383"/>
      <c r="AU16" s="16"/>
      <c r="AV16" s="15">
        <f>'5. RESULTAT'!K51</f>
        <v>454996000</v>
      </c>
      <c r="AW16" s="10"/>
      <c r="AX16" s="386">
        <f>'5. RESULTAT'!M51</f>
        <v>0.36922023247283975</v>
      </c>
      <c r="AY16" s="1" t="s">
        <v>284</v>
      </c>
      <c r="AZ16" s="1">
        <f>0</f>
        <v>0</v>
      </c>
      <c r="BA16" s="1" t="s">
        <v>285</v>
      </c>
      <c r="BB16" s="1" t="s">
        <v>286</v>
      </c>
      <c r="BC16" s="1" t="s">
        <v>96</v>
      </c>
      <c r="BD16" s="1"/>
      <c r="BE16" s="1"/>
      <c r="BF16" s="1"/>
      <c r="BG16" s="1"/>
      <c r="BH16" s="1"/>
      <c r="BI16" s="1" t="str">
        <f>IF('8. PROPOSITION'!M13="","",BF16)</f>
        <v/>
      </c>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row>
    <row r="17" spans="1:98" ht="20.399999999999999" x14ac:dyDescent="0.3">
      <c r="A17" s="1"/>
      <c r="B17" s="27" t="str">
        <f>'7. RISQUE'!B17</f>
        <v>E. Qualité des actifs de l'entreprise/exploitation</v>
      </c>
      <c r="C17" s="28">
        <f>IF('7. RISQUE'!$B$23="Veuillez noter tous les critères de risques !",0,'7. RISQUE'!H17)</f>
        <v>3</v>
      </c>
      <c r="D17" s="1">
        <v>6</v>
      </c>
      <c r="E17" s="1">
        <v>5</v>
      </c>
      <c r="F17" s="1">
        <v>4</v>
      </c>
      <c r="G17" s="1">
        <v>3</v>
      </c>
      <c r="H17" s="1">
        <v>2</v>
      </c>
      <c r="I17" s="1">
        <v>1</v>
      </c>
      <c r="J17" s="1"/>
      <c r="K17" s="4" t="s">
        <v>287</v>
      </c>
      <c r="L17" s="1"/>
      <c r="M17" s="19" t="s">
        <v>251</v>
      </c>
      <c r="N17" s="1"/>
      <c r="O17" s="1"/>
      <c r="P17" s="1"/>
      <c r="Q17" s="1"/>
      <c r="R17" s="1"/>
      <c r="S17" s="1"/>
      <c r="T17" s="1"/>
      <c r="U17" s="1"/>
      <c r="V17" s="1"/>
      <c r="W17" s="1"/>
      <c r="X17" s="1"/>
      <c r="Y17" s="1"/>
      <c r="Z17" s="1"/>
      <c r="AA17" s="1"/>
      <c r="AB17" s="1"/>
      <c r="AC17" s="1"/>
      <c r="AD17" s="1"/>
      <c r="AE17" s="1"/>
      <c r="AF17" s="1"/>
      <c r="AG17" s="1"/>
      <c r="AH17" s="1"/>
      <c r="AI17" s="1"/>
      <c r="AJ17" s="22" t="s">
        <v>25</v>
      </c>
      <c r="AK17" s="1"/>
      <c r="AL17" s="1"/>
      <c r="AM17" s="1"/>
      <c r="AN17" s="1"/>
      <c r="AO17" s="393"/>
      <c r="AP17" s="394"/>
      <c r="AQ17" s="388" t="s">
        <v>276</v>
      </c>
      <c r="AR17" s="382"/>
      <c r="AS17" s="382"/>
      <c r="AT17" s="382"/>
      <c r="AU17" s="383"/>
      <c r="AV17" s="24">
        <f>'5. RESULTAT'!K52</f>
        <v>1232316000</v>
      </c>
      <c r="AW17" s="10"/>
      <c r="AX17" s="387"/>
      <c r="AY17" s="1" t="s">
        <v>288</v>
      </c>
      <c r="AZ17" s="1" t="s">
        <v>289</v>
      </c>
      <c r="BA17" s="1" t="s">
        <v>290</v>
      </c>
      <c r="BB17" s="1" t="s">
        <v>291</v>
      </c>
      <c r="BC17" s="1" t="s">
        <v>292</v>
      </c>
      <c r="BD17" s="1"/>
      <c r="BE17" s="1"/>
      <c r="BF17" s="1" t="str">
        <f>IF('5. RESULTAT'!K29&lt;0,"Le cumul des revenus de cet entrepreneur est négatif - L'excédent d'exploitation est déficitaire ou trop faible.",BG17)</f>
        <v xml:space="preserve">Ratio de dépendance aux autres revenus dans la norme. </v>
      </c>
      <c r="BG17" s="1" t="str">
        <f>IF(AX16&lt;0%,AY17,IF(AX16=0%,AZ17,IF(AND(AX16&gt;0%,AX16&lt;=50%),BA17,IF(AND(AX16&gt;50%,AX16&lt;=100%),BB17,IF(AX16&gt;100%,BC17,"")))))</f>
        <v xml:space="preserve">Ratio de dépendance aux autres revenus dans la norme. </v>
      </c>
      <c r="BH17" s="1"/>
      <c r="BI17" s="1" t="str">
        <f>IF('8. PROPOSITION'!M12="","",BG17)</f>
        <v xml:space="preserve">Ratio de dépendance aux autres revenus dans la norme. </v>
      </c>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row>
    <row r="18" spans="1:98" ht="18" customHeight="1" x14ac:dyDescent="0.3">
      <c r="A18" s="1"/>
      <c r="B18" s="27" t="str">
        <f>'7. RISQUE'!B18</f>
        <v>F. Production et Exploitation</v>
      </c>
      <c r="C18" s="28">
        <f>IF('7. RISQUE'!$B$23="Veuillez noter tous les critères de risques !",0,'7. RISQUE'!H18)</f>
        <v>6</v>
      </c>
      <c r="D18" s="1">
        <v>6</v>
      </c>
      <c r="E18" s="1">
        <v>5</v>
      </c>
      <c r="F18" s="1">
        <v>4</v>
      </c>
      <c r="G18" s="1">
        <v>3</v>
      </c>
      <c r="H18" s="1">
        <v>2</v>
      </c>
      <c r="I18" s="1">
        <v>1</v>
      </c>
      <c r="J18" s="1"/>
      <c r="K18" s="4" t="s">
        <v>293</v>
      </c>
      <c r="L18" s="1"/>
      <c r="M18" s="19" t="s">
        <v>252</v>
      </c>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row>
    <row r="19" spans="1:98" ht="9.75" customHeight="1" x14ac:dyDescent="0.3">
      <c r="A19" s="1"/>
      <c r="B19" s="27" t="str">
        <f>'7. RISQUE'!B19</f>
        <v>G. Environnement</v>
      </c>
      <c r="C19" s="28">
        <f>IF('7. RISQUE'!$B$23="Veuillez noter tous les critères de risques !",0,'7. RISQUE'!H19)</f>
        <v>2</v>
      </c>
      <c r="D19" s="1">
        <v>6</v>
      </c>
      <c r="E19" s="1">
        <v>5</v>
      </c>
      <c r="F19" s="1">
        <v>4</v>
      </c>
      <c r="G19" s="1">
        <v>3</v>
      </c>
      <c r="H19" s="1">
        <v>2</v>
      </c>
      <c r="I19" s="1">
        <v>1</v>
      </c>
      <c r="J19" s="1"/>
      <c r="K19" s="4" t="s">
        <v>294</v>
      </c>
      <c r="L19" s="1"/>
      <c r="M19" s="19" t="s">
        <v>262</v>
      </c>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row>
    <row r="20" spans="1:98" ht="37.5" customHeight="1" x14ac:dyDescent="0.3">
      <c r="A20" s="1"/>
      <c r="B20" s="27" t="str">
        <f>'7. RISQUE'!B20</f>
        <v>H. Capacité de remboursement, Solvabilité et niveau d'endettement</v>
      </c>
      <c r="C20" s="28">
        <f>IF('7. RISQUE'!$B$23="Veuillez noter tous les critères de risques !",0,'7. RISQUE'!H20)</f>
        <v>3</v>
      </c>
      <c r="D20" s="1">
        <v>6</v>
      </c>
      <c r="E20" s="1">
        <v>5</v>
      </c>
      <c r="F20" s="1">
        <v>4</v>
      </c>
      <c r="G20" s="1">
        <v>3</v>
      </c>
      <c r="H20" s="1">
        <v>2</v>
      </c>
      <c r="I20" s="1">
        <v>1</v>
      </c>
      <c r="J20" s="1"/>
      <c r="K20" s="4" t="s">
        <v>295</v>
      </c>
      <c r="L20" s="1"/>
      <c r="M20" s="19" t="s">
        <v>270</v>
      </c>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row>
    <row r="21" spans="1:98" ht="15.75" customHeight="1" x14ac:dyDescent="0.3">
      <c r="A21" s="1"/>
      <c r="B21" s="1"/>
      <c r="C21" s="1"/>
      <c r="D21" s="1"/>
      <c r="E21" s="1">
        <v>5</v>
      </c>
      <c r="F21" s="1"/>
      <c r="G21" s="1"/>
      <c r="H21" s="1"/>
      <c r="I21" s="1"/>
      <c r="J21" s="1"/>
      <c r="K21" s="4" t="s">
        <v>296</v>
      </c>
      <c r="L21" s="1"/>
      <c r="M21" s="19" t="s">
        <v>25</v>
      </c>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row>
    <row r="22" spans="1:98" ht="15.75" customHeight="1" x14ac:dyDescent="0.3">
      <c r="A22" s="1"/>
      <c r="B22" s="1"/>
      <c r="C22" s="1"/>
      <c r="D22" s="1"/>
      <c r="E22" s="1"/>
      <c r="F22" s="1"/>
      <c r="G22" s="1"/>
      <c r="H22" s="1"/>
      <c r="I22" s="1"/>
      <c r="J22" s="1"/>
      <c r="K22" s="4" t="s">
        <v>97</v>
      </c>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row>
    <row r="23" spans="1:98" ht="15.75" hidden="1" customHeight="1" x14ac:dyDescent="0.3">
      <c r="A23" s="1"/>
      <c r="B23" s="1"/>
      <c r="C23" s="1"/>
      <c r="D23" s="1"/>
      <c r="E23" s="1"/>
      <c r="F23" s="1"/>
      <c r="G23" s="1"/>
      <c r="H23" s="1"/>
      <c r="I23" s="1"/>
      <c r="J23" s="1"/>
      <c r="K23" s="1" t="s">
        <v>297</v>
      </c>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row>
    <row r="24" spans="1:98" ht="15.75" hidden="1" customHeight="1" x14ac:dyDescent="0.3">
      <c r="A24" s="1"/>
      <c r="B24" s="1"/>
      <c r="C24" s="1"/>
      <c r="D24" s="1"/>
      <c r="E24" s="1"/>
      <c r="F24" s="1"/>
      <c r="G24" s="1"/>
      <c r="H24" s="1"/>
      <c r="I24" s="1"/>
      <c r="J24" s="1"/>
      <c r="K24" s="4" t="s">
        <v>298</v>
      </c>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row>
    <row r="25" spans="1:98" ht="15.75" customHeight="1" x14ac:dyDescent="0.3">
      <c r="A25" s="1"/>
      <c r="B25" s="1"/>
      <c r="C25" s="1"/>
      <c r="D25" s="1"/>
      <c r="E25" s="1"/>
      <c r="F25" s="1"/>
      <c r="G25" s="1"/>
      <c r="H25" s="1"/>
      <c r="I25" s="1"/>
      <c r="J25" s="1"/>
      <c r="K25" s="4" t="s">
        <v>25</v>
      </c>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row>
    <row r="26" spans="1:98" ht="15.75" customHeight="1" x14ac:dyDescent="0.3">
      <c r="A26" s="1"/>
      <c r="B26" s="1"/>
      <c r="C26" s="1"/>
      <c r="D26" s="1"/>
      <c r="E26" s="1"/>
      <c r="F26" s="1"/>
      <c r="G26" s="1"/>
      <c r="H26" s="1"/>
      <c r="I26" s="1"/>
      <c r="J26" s="1"/>
      <c r="K26" s="4"/>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row>
    <row r="27" spans="1:98" ht="15.75" customHeight="1"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row>
    <row r="28" spans="1:98" ht="15.75" customHeight="1"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row>
    <row r="29" spans="1:98" ht="5.25" customHeight="1"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row>
    <row r="30" spans="1:98" ht="15.75" hidden="1" customHeight="1"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row>
    <row r="31" spans="1:98" ht="15.75" hidden="1" customHeight="1"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row>
    <row r="32" spans="1:98" ht="15.75" customHeight="1" x14ac:dyDescent="0.45">
      <c r="A32" s="29"/>
      <c r="B32" s="29"/>
      <c r="C32" s="389" t="s">
        <v>299</v>
      </c>
      <c r="D32" s="382"/>
      <c r="E32" s="382"/>
      <c r="F32" s="382"/>
      <c r="G32" s="383"/>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row>
    <row r="33" spans="1:98" ht="15.75" customHeight="1" x14ac:dyDescent="0.3">
      <c r="A33" s="29"/>
      <c r="B33" s="29"/>
      <c r="C33" s="30"/>
      <c r="D33" s="30"/>
      <c r="E33" s="30"/>
      <c r="F33" s="30"/>
      <c r="G33" s="30"/>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row>
    <row r="34" spans="1:98" ht="15.75" customHeight="1" x14ac:dyDescent="0.3">
      <c r="A34" s="29"/>
      <c r="B34" s="29"/>
      <c r="C34" s="30"/>
      <c r="D34" s="30"/>
      <c r="E34" s="30"/>
      <c r="F34" s="30"/>
      <c r="G34" s="30"/>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row>
    <row r="35" spans="1:98" ht="15.75" customHeight="1" x14ac:dyDescent="0.3">
      <c r="A35" s="29"/>
      <c r="B35" s="29"/>
      <c r="C35" s="30"/>
      <c r="D35" s="30"/>
      <c r="E35" s="30"/>
      <c r="F35" s="30"/>
      <c r="G35" s="30"/>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row>
    <row r="36" spans="1:98" ht="15.75" customHeight="1" x14ac:dyDescent="0.3">
      <c r="A36" s="29"/>
      <c r="B36" s="29"/>
      <c r="C36" s="390" t="s">
        <v>300</v>
      </c>
      <c r="D36" s="382"/>
      <c r="E36" s="382"/>
      <c r="F36" s="382"/>
      <c r="G36" s="383"/>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row>
    <row r="37" spans="1:98" ht="15.75" customHeight="1" x14ac:dyDescent="0.3">
      <c r="A37" s="29"/>
      <c r="B37" s="29"/>
      <c r="C37" s="30"/>
      <c r="D37" s="30"/>
      <c r="E37" s="30"/>
      <c r="F37" s="30"/>
      <c r="G37" s="30"/>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row>
    <row r="38" spans="1:98" ht="15.75" customHeight="1" x14ac:dyDescent="0.3">
      <c r="A38" s="29"/>
      <c r="B38" s="29"/>
      <c r="C38" s="30" t="s">
        <v>301</v>
      </c>
      <c r="D38" s="30"/>
      <c r="E38" s="30"/>
      <c r="F38" s="30"/>
      <c r="G38" s="30"/>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row>
    <row r="39" spans="1:98" ht="15.75" customHeight="1" x14ac:dyDescent="0.3">
      <c r="A39" s="29"/>
      <c r="B39" s="29"/>
      <c r="C39" s="381" t="s">
        <v>302</v>
      </c>
      <c r="D39" s="382"/>
      <c r="E39" s="382"/>
      <c r="F39" s="382"/>
      <c r="G39" s="383"/>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row>
    <row r="40" spans="1:98" ht="15.75" customHeight="1"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row>
    <row r="41" spans="1:98" ht="15.75" customHeight="1"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row>
    <row r="42" spans="1:98" ht="15.75" customHeight="1"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row>
    <row r="43" spans="1:98"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row>
    <row r="44" spans="1:98"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row>
    <row r="45" spans="1:98"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row>
    <row r="46" spans="1:98"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row>
    <row r="47" spans="1:98" ht="15.75" customHeight="1" x14ac:dyDescent="0.3">
      <c r="A47" s="1"/>
      <c r="B47" s="1"/>
      <c r="C47" s="1"/>
      <c r="D47" s="1"/>
      <c r="E47" s="1"/>
      <c r="F47" s="1"/>
      <c r="G47" s="1"/>
      <c r="H47" s="384"/>
      <c r="I47" s="382"/>
      <c r="J47" s="382"/>
      <c r="K47" s="383"/>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row>
    <row r="48" spans="1:98"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row>
    <row r="49" spans="1:98"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row>
    <row r="50" spans="1:98"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row>
    <row r="51" spans="1:98"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row>
    <row r="52" spans="1:98"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row>
    <row r="53" spans="1:98"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row>
    <row r="54" spans="1:98"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row>
    <row r="55" spans="1:98"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row>
    <row r="56" spans="1:98"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row>
    <row r="57" spans="1:98"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row r="65" spans="1:98"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row>
    <row r="66" spans="1:98"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row>
    <row r="67" spans="1:98"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row>
    <row r="68" spans="1:98"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row>
    <row r="69" spans="1:98"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row>
    <row r="70" spans="1:98"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row>
    <row r="71" spans="1:98"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row>
    <row r="72" spans="1:98"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row>
    <row r="73" spans="1:98"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row>
    <row r="74" spans="1:98"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row>
    <row r="75" spans="1:98"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row>
    <row r="76" spans="1:98"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row>
    <row r="77" spans="1:98"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row>
    <row r="78" spans="1:98"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row>
    <row r="79" spans="1:98"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row>
    <row r="80" spans="1:98"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row>
    <row r="81" spans="1:98"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row>
    <row r="82" spans="1:98"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row>
    <row r="83" spans="1:98"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row>
    <row r="84" spans="1:98"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row>
    <row r="85" spans="1:98"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row>
    <row r="86" spans="1:98"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row>
    <row r="87" spans="1:98"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row>
    <row r="88" spans="1:98"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row>
    <row r="89" spans="1:98"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row>
    <row r="90" spans="1:98"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row>
    <row r="91" spans="1:98"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row>
    <row r="92" spans="1:98"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row>
    <row r="93" spans="1:98"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row>
    <row r="94" spans="1:98"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row>
    <row r="95" spans="1:98"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row>
    <row r="96" spans="1:98"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row>
    <row r="97" spans="1:98"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row>
    <row r="98" spans="1:98"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row>
    <row r="99" spans="1:98"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row>
    <row r="100" spans="1:98"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row>
  </sheetData>
  <mergeCells count="39">
    <mergeCell ref="AO8:AP9"/>
    <mergeCell ref="AQ8:AT8"/>
    <mergeCell ref="AX8:AX9"/>
    <mergeCell ref="AQ9:AU9"/>
    <mergeCell ref="AQ5:AT5"/>
    <mergeCell ref="AQ6:AT6"/>
    <mergeCell ref="AQ7:AU7"/>
    <mergeCell ref="AO4:AP5"/>
    <mergeCell ref="AO6:AP7"/>
    <mergeCell ref="AO1:AP1"/>
    <mergeCell ref="AO2:AP3"/>
    <mergeCell ref="AX4:AX5"/>
    <mergeCell ref="AX6:AX7"/>
    <mergeCell ref="AX2:AX3"/>
    <mergeCell ref="AQ4:AT4"/>
    <mergeCell ref="AQ3:AT3"/>
    <mergeCell ref="AQ1:AU1"/>
    <mergeCell ref="AV1:AW1"/>
    <mergeCell ref="AQ2:AT2"/>
    <mergeCell ref="AQ14:AT14"/>
    <mergeCell ref="AQ15:AU15"/>
    <mergeCell ref="AO10:AP11"/>
    <mergeCell ref="AQ10:AT10"/>
    <mergeCell ref="AX10:AX11"/>
    <mergeCell ref="AQ11:AU11"/>
    <mergeCell ref="AO12:AP13"/>
    <mergeCell ref="AQ12:AT12"/>
    <mergeCell ref="AX12:AX13"/>
    <mergeCell ref="AQ13:AU13"/>
    <mergeCell ref="AO14:AP15"/>
    <mergeCell ref="AX14:AX15"/>
    <mergeCell ref="C39:G39"/>
    <mergeCell ref="H47:K47"/>
    <mergeCell ref="AQ16:AT16"/>
    <mergeCell ref="AX16:AX17"/>
    <mergeCell ref="AQ17:AU17"/>
    <mergeCell ref="C32:G32"/>
    <mergeCell ref="C36:G36"/>
    <mergeCell ref="AO16:AP17"/>
  </mergeCells>
  <pageMargins left="0.7" right="0.7" top="0.75" bottom="0.75" header="0" footer="0"/>
  <pageSetup orientation="portrait"/>
  <headerFooter>
    <oddFooter>&amp;C_x000D_#000000 Usage Interne</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J100"/>
  <sheetViews>
    <sheetView workbookViewId="0"/>
  </sheetViews>
  <sheetFormatPr baseColWidth="10" defaultColWidth="14.44140625" defaultRowHeight="15" customHeight="1" x14ac:dyDescent="0.3"/>
  <cols>
    <col min="1" max="1" width="13.88671875" customWidth="1"/>
    <col min="2" max="2" width="58.88671875" customWidth="1"/>
    <col min="3" max="3" width="22.5546875" customWidth="1"/>
    <col min="4" max="4" width="18.109375" customWidth="1"/>
    <col min="5" max="5" width="27.5546875" customWidth="1"/>
    <col min="6" max="6" width="13.88671875" customWidth="1"/>
    <col min="7" max="7" width="24.5546875" customWidth="1"/>
    <col min="8" max="10" width="13.88671875" customWidth="1"/>
    <col min="11" max="11" width="25.109375" customWidth="1"/>
    <col min="12" max="58" width="13.88671875" customWidth="1"/>
    <col min="59" max="59" width="15.88671875" customWidth="1"/>
    <col min="60" max="93" width="13.88671875" customWidth="1"/>
    <col min="94" max="94" width="43.5546875" customWidth="1"/>
    <col min="95" max="96" width="13.88671875" customWidth="1"/>
    <col min="97" max="97" width="17.109375" customWidth="1"/>
    <col min="98" max="98" width="19.109375" customWidth="1"/>
    <col min="99" max="99" width="18.44140625" customWidth="1"/>
    <col min="100" max="138" width="13.88671875" customWidth="1"/>
    <col min="139" max="139" width="16.88671875" customWidth="1"/>
    <col min="140" max="140" width="13.88671875" customWidth="1"/>
  </cols>
  <sheetData>
    <row r="1" spans="1:140" ht="49.5" customHeight="1" x14ac:dyDescent="0.3">
      <c r="A1" s="31">
        <v>1</v>
      </c>
      <c r="B1" s="32" t="s">
        <v>0</v>
      </c>
      <c r="C1" s="33" t="s">
        <v>1</v>
      </c>
      <c r="D1" s="33"/>
      <c r="E1" s="33"/>
      <c r="F1" s="33" t="s">
        <v>2</v>
      </c>
      <c r="G1" s="33" t="s">
        <v>3</v>
      </c>
      <c r="H1" s="33"/>
      <c r="I1" s="33"/>
      <c r="J1" s="33"/>
      <c r="K1" s="33" t="s">
        <v>4</v>
      </c>
      <c r="L1" s="34" t="s">
        <v>5</v>
      </c>
      <c r="M1" s="34" t="s">
        <v>6</v>
      </c>
      <c r="N1" s="33" t="s">
        <v>303</v>
      </c>
      <c r="O1" s="33" t="s">
        <v>7</v>
      </c>
      <c r="P1" s="35" t="s">
        <v>304</v>
      </c>
      <c r="Q1" s="33" t="s">
        <v>305</v>
      </c>
      <c r="R1" s="33" t="s">
        <v>306</v>
      </c>
      <c r="S1" s="33" t="s">
        <v>307</v>
      </c>
      <c r="T1" s="33" t="s">
        <v>308</v>
      </c>
      <c r="U1" s="33" t="s">
        <v>309</v>
      </c>
      <c r="V1" s="33" t="s">
        <v>310</v>
      </c>
      <c r="W1" s="33" t="s">
        <v>311</v>
      </c>
      <c r="X1" s="33"/>
      <c r="Y1" s="33"/>
      <c r="Z1" s="33"/>
      <c r="AA1" s="33"/>
      <c r="AB1" s="33"/>
      <c r="AC1" s="33" t="s">
        <v>20</v>
      </c>
      <c r="AD1" s="33" t="s">
        <v>21</v>
      </c>
      <c r="AE1" s="33" t="s">
        <v>22</v>
      </c>
      <c r="AF1" s="33" t="s">
        <v>23</v>
      </c>
      <c r="AG1" s="33" t="s">
        <v>24</v>
      </c>
      <c r="AH1" s="33" t="s">
        <v>25</v>
      </c>
      <c r="AI1" s="33" t="s">
        <v>26</v>
      </c>
      <c r="AJ1" s="33" t="s">
        <v>27</v>
      </c>
      <c r="AK1" s="33" t="s">
        <v>28</v>
      </c>
      <c r="AL1" s="33" t="s">
        <v>29</v>
      </c>
      <c r="AM1" s="33" t="s">
        <v>25</v>
      </c>
      <c r="AN1" s="33"/>
      <c r="AO1" s="401" t="s">
        <v>30</v>
      </c>
      <c r="AP1" s="399"/>
      <c r="AQ1" s="401"/>
      <c r="AR1" s="399"/>
      <c r="AS1" s="399"/>
      <c r="AT1" s="399"/>
      <c r="AU1" s="399"/>
      <c r="AV1" s="401" t="str">
        <f>'5. RESULTAT'!K36</f>
        <v>Calculs</v>
      </c>
      <c r="AW1" s="399"/>
      <c r="AX1" s="33" t="str">
        <f>'5. RESULTAT'!M36</f>
        <v>Résultats</v>
      </c>
      <c r="AY1" s="33" t="s">
        <v>5</v>
      </c>
      <c r="AZ1" s="33" t="s">
        <v>31</v>
      </c>
      <c r="BA1" s="33" t="s">
        <v>32</v>
      </c>
      <c r="BB1" s="33" t="s">
        <v>33</v>
      </c>
      <c r="BC1" s="33" t="s">
        <v>34</v>
      </c>
      <c r="BD1" s="33"/>
      <c r="BE1" s="33"/>
      <c r="BF1" s="33" t="str">
        <f>CONCATENATE("Le crédit dépasse le besoin réel de ",(BF4),"%")</f>
        <v>Le crédit dépasse le besoin réel de -67,49%</v>
      </c>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t="s">
        <v>35</v>
      </c>
      <c r="CN1" s="33">
        <f>IF('5. RESULTAT'!D16="Prélèvement de l'exploitant",'5. RESULTAT'!K16,0)</f>
        <v>0</v>
      </c>
      <c r="CO1" s="33"/>
      <c r="CP1" s="33" t="s">
        <v>36</v>
      </c>
      <c r="CQ1" s="33"/>
      <c r="CR1" s="33"/>
      <c r="CS1" s="36">
        <f>IF('8. PROPOSITION'!M20="",0,CU1)</f>
        <v>300000000</v>
      </c>
      <c r="CT1" s="37">
        <f>'8. PROPOSITION'!M12/'8. PROPOSITION'!M20</f>
        <v>100000000</v>
      </c>
      <c r="CU1" s="37">
        <f>'8. PROPOSITION'!M12+EH12</f>
        <v>300000000</v>
      </c>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f>'1. DEMANDE'!V50</f>
        <v>8</v>
      </c>
      <c r="DZ1" s="33" t="s">
        <v>312</v>
      </c>
      <c r="EA1" s="33" t="s">
        <v>313</v>
      </c>
      <c r="EB1" s="33" t="s">
        <v>313</v>
      </c>
      <c r="EC1" s="33" t="s">
        <v>313</v>
      </c>
      <c r="ED1" s="33" t="s">
        <v>313</v>
      </c>
      <c r="EE1" s="33" t="s">
        <v>313</v>
      </c>
      <c r="EF1" s="33"/>
      <c r="EG1" s="33"/>
      <c r="EH1" s="33"/>
      <c r="EI1" s="34" t="s">
        <v>314</v>
      </c>
      <c r="EJ1" s="34" t="s">
        <v>315</v>
      </c>
    </row>
    <row r="2" spans="1:140" ht="33.75" customHeight="1" x14ac:dyDescent="0.3">
      <c r="A2" s="31">
        <v>2</v>
      </c>
      <c r="B2" s="32" t="s">
        <v>37</v>
      </c>
      <c r="C2" s="33" t="s">
        <v>38</v>
      </c>
      <c r="D2" s="33"/>
      <c r="E2" s="33" t="s">
        <v>39</v>
      </c>
      <c r="F2" s="38">
        <f>'.'!F2</f>
        <v>922680000</v>
      </c>
      <c r="G2" s="38">
        <f>'.'!G2</f>
        <v>1700000000</v>
      </c>
      <c r="H2" s="33"/>
      <c r="I2" s="33"/>
      <c r="J2" s="33"/>
      <c r="K2" s="33" t="s">
        <v>40</v>
      </c>
      <c r="L2" s="34" t="s">
        <v>41</v>
      </c>
      <c r="M2" s="33" t="s">
        <v>42</v>
      </c>
      <c r="N2" s="33" t="s">
        <v>316</v>
      </c>
      <c r="O2" s="33" t="s">
        <v>43</v>
      </c>
      <c r="P2" s="33" t="s">
        <v>317</v>
      </c>
      <c r="Q2" s="34" t="s">
        <v>318</v>
      </c>
      <c r="R2" s="33" t="s">
        <v>319</v>
      </c>
      <c r="S2" s="33" t="s">
        <v>320</v>
      </c>
      <c r="T2" s="34" t="s">
        <v>321</v>
      </c>
      <c r="U2" s="34" t="s">
        <v>322</v>
      </c>
      <c r="V2" s="34" t="s">
        <v>323</v>
      </c>
      <c r="W2" s="34" t="s">
        <v>324</v>
      </c>
      <c r="X2" s="34"/>
      <c r="Y2" s="33"/>
      <c r="Z2" s="33"/>
      <c r="AA2" s="33"/>
      <c r="AB2" s="33"/>
      <c r="AC2" s="33" t="s">
        <v>26</v>
      </c>
      <c r="AD2" s="33" t="s">
        <v>56</v>
      </c>
      <c r="AE2" s="33" t="s">
        <v>57</v>
      </c>
      <c r="AF2" s="33" t="s">
        <v>58</v>
      </c>
      <c r="AG2" s="33" t="s">
        <v>59</v>
      </c>
      <c r="AH2" s="34"/>
      <c r="AI2" s="33" t="s">
        <v>60</v>
      </c>
      <c r="AJ2" s="33" t="s">
        <v>42</v>
      </c>
      <c r="AK2" s="33" t="s">
        <v>42</v>
      </c>
      <c r="AL2" s="33" t="s">
        <v>42</v>
      </c>
      <c r="AM2" s="33"/>
      <c r="AN2" s="33"/>
      <c r="AO2" s="398" t="s">
        <v>61</v>
      </c>
      <c r="AP2" s="399"/>
      <c r="AQ2" s="400" t="s">
        <v>62</v>
      </c>
      <c r="AR2" s="399"/>
      <c r="AS2" s="399"/>
      <c r="AT2" s="399"/>
      <c r="AU2" s="33"/>
      <c r="AV2" s="38">
        <f>'5. RESULTAT'!K37</f>
        <v>300000000</v>
      </c>
      <c r="AW2" s="33"/>
      <c r="AX2" s="403">
        <f>'5. RESULTAT'!M37</f>
        <v>0.32513981011835091</v>
      </c>
      <c r="AY2" s="33" t="s">
        <v>63</v>
      </c>
      <c r="AZ2" s="33" t="s">
        <v>64</v>
      </c>
      <c r="BA2" s="33" t="s">
        <v>65</v>
      </c>
      <c r="BB2" s="33" t="s">
        <v>66</v>
      </c>
      <c r="BC2" s="33" t="s">
        <v>67</v>
      </c>
      <c r="BD2" s="33"/>
      <c r="BE2" s="39">
        <f>IF('1. DEMANDE'!I54="Investissement",'3. BILAN'!J50,'3. BILAN'!J60)</f>
        <v>922680000</v>
      </c>
      <c r="BF2" s="33" t="str">
        <f>IF('8. PROPOSITION'!M12&gt;BE2,BF1,IF('8. PROPOSITION'!M12=BE2,"Le crédit couvre bien le besoin réel.","Attention, le crédit ne couvre pas le besoin réel."))</f>
        <v>Attention, le crédit ne couvre pas le besoin réel.</v>
      </c>
      <c r="BG2" s="33" t="str">
        <f>IF(AX2&lt;=20%,AY2,IF(AND(AX2&gt;20%,AX2&lt;=50%),AZ2,IF(AND(AX2&gt;50%,AX2&lt;=65%),BA2,IF(AND(AX2&gt;65%,AX2&lt;=100%),BB2,IF(AX2&gt;100%,BC2,"")))))</f>
        <v>Bon ratio. Le niveau de participation de financement est acceptable.</v>
      </c>
      <c r="BH2" s="33" t="str">
        <f>CONCATENATE(BG2," ",BF2)</f>
        <v>Bon ratio. Le niveau de participation de financement est acceptable. Attention, le crédit ne couvre pas le besoin réel.</v>
      </c>
      <c r="BI2" s="33" t="str">
        <f>IF('8. PROPOSITION'!M12="","",IF(BE2&lt;0,"Attention ! Ce client n'a de besoin réel identifié - veuillez revoir les analyses",BH2))</f>
        <v>Bon ratio. Le niveau de participation de financement est acceptable. Attention, le crédit ne couvre pas le besoin réel.</v>
      </c>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t="s">
        <v>35</v>
      </c>
      <c r="CN2" s="33">
        <f>IF('5. RESULTAT'!D17="Prélèvement de l'exploitant",'5. RESULTAT'!K17,0)</f>
        <v>0</v>
      </c>
      <c r="CO2" s="33"/>
      <c r="CP2" s="33" t="s">
        <v>68</v>
      </c>
      <c r="CQ2" s="33"/>
      <c r="CR2" s="33"/>
      <c r="CS2" s="40">
        <f>IF('8. PROPOSITION'!M20="",0,EH12)</f>
        <v>0</v>
      </c>
      <c r="CT2" s="35"/>
      <c r="CU2" s="37"/>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t="str">
        <f>IF(DY1=1,"ONE",IF(DY1=2,"TWO",IF(DY1=3,"THREE",IF(DY1=4,"FOUR",IF(DY1=5,"FOUR",IF(AND(DY1&gt;5,DY1&lt;12),"FIVE",IF(DY1&gt;11,"SIX","")))))))</f>
        <v>FIVE</v>
      </c>
      <c r="DZ2" s="33"/>
      <c r="EA2" s="33" t="s">
        <v>312</v>
      </c>
      <c r="EB2" s="33" t="s">
        <v>312</v>
      </c>
      <c r="EC2" s="33" t="s">
        <v>312</v>
      </c>
      <c r="ED2" s="33" t="s">
        <v>312</v>
      </c>
      <c r="EE2" s="33" t="s">
        <v>312</v>
      </c>
      <c r="EF2" s="33"/>
      <c r="EG2" s="33"/>
      <c r="EH2" s="33" t="s">
        <v>325</v>
      </c>
      <c r="EI2" s="33">
        <f>IF('5. RESULTAT'!D16="Provisions",'5. RESULTAT'!K16,0)</f>
        <v>0</v>
      </c>
      <c r="EJ2" s="33">
        <f>IF('5. RESULTAT'!D16="Amortissement ",'5. RESULTAT'!K16,0)</f>
        <v>0</v>
      </c>
    </row>
    <row r="3" spans="1:140" ht="23.25" customHeight="1" x14ac:dyDescent="0.3">
      <c r="A3" s="31">
        <v>3</v>
      </c>
      <c r="B3" s="32" t="s">
        <v>326</v>
      </c>
      <c r="C3" s="33" t="s">
        <v>70</v>
      </c>
      <c r="D3" s="33"/>
      <c r="E3" s="33" t="s">
        <v>71</v>
      </c>
      <c r="F3" s="41">
        <f>'.'!F3</f>
        <v>0</v>
      </c>
      <c r="G3" s="41">
        <f>'.'!G3</f>
        <v>0</v>
      </c>
      <c r="H3" s="33"/>
      <c r="I3" s="33"/>
      <c r="J3" s="33"/>
      <c r="K3" s="33" t="s">
        <v>72</v>
      </c>
      <c r="L3" s="34" t="s">
        <v>73</v>
      </c>
      <c r="M3" s="33" t="s">
        <v>74</v>
      </c>
      <c r="N3" s="33" t="s">
        <v>327</v>
      </c>
      <c r="O3" s="33" t="s">
        <v>75</v>
      </c>
      <c r="P3" s="33"/>
      <c r="Q3" s="33" t="s">
        <v>328</v>
      </c>
      <c r="R3" s="33" t="s">
        <v>329</v>
      </c>
      <c r="S3" s="33" t="s">
        <v>330</v>
      </c>
      <c r="T3" s="33" t="s">
        <v>331</v>
      </c>
      <c r="U3" s="34" t="s">
        <v>332</v>
      </c>
      <c r="V3" s="34" t="s">
        <v>333</v>
      </c>
      <c r="W3" s="34" t="s">
        <v>334</v>
      </c>
      <c r="X3" s="33"/>
      <c r="Y3" s="33"/>
      <c r="Z3" s="34"/>
      <c r="AA3" s="33"/>
      <c r="AB3" s="33"/>
      <c r="AC3" s="33" t="s">
        <v>27</v>
      </c>
      <c r="AD3" s="33" t="s">
        <v>87</v>
      </c>
      <c r="AE3" s="33" t="s">
        <v>88</v>
      </c>
      <c r="AF3" s="33" t="s">
        <v>89</v>
      </c>
      <c r="AG3" s="33" t="s">
        <v>25</v>
      </c>
      <c r="AH3" s="34"/>
      <c r="AI3" s="33" t="s">
        <v>90</v>
      </c>
      <c r="AJ3" s="33" t="s">
        <v>74</v>
      </c>
      <c r="AK3" s="33" t="s">
        <v>74</v>
      </c>
      <c r="AL3" s="33" t="s">
        <v>74</v>
      </c>
      <c r="AM3" s="33"/>
      <c r="AN3" s="33"/>
      <c r="AO3" s="399"/>
      <c r="AP3" s="399"/>
      <c r="AQ3" s="405" t="s">
        <v>91</v>
      </c>
      <c r="AR3" s="399"/>
      <c r="AS3" s="399"/>
      <c r="AT3" s="399"/>
      <c r="AU3" s="33"/>
      <c r="AV3" s="38">
        <f>'5. RESULTAT'!K38</f>
        <v>922680000</v>
      </c>
      <c r="AW3" s="33"/>
      <c r="AX3" s="399"/>
      <c r="AY3" s="33" t="s">
        <v>92</v>
      </c>
      <c r="AZ3" s="33" t="s">
        <v>93</v>
      </c>
      <c r="BA3" s="33" t="s">
        <v>94</v>
      </c>
      <c r="BB3" s="33" t="s">
        <v>95</v>
      </c>
      <c r="BC3" s="33" t="s">
        <v>96</v>
      </c>
      <c r="BD3" s="33"/>
      <c r="BE3" s="33"/>
      <c r="BF3" s="33">
        <f>(('8. PROPOSITION'!M12/BE2)-1)*100</f>
        <v>-67.486018988164915</v>
      </c>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t="s">
        <v>35</v>
      </c>
      <c r="CN3" s="33">
        <f>IF('5. RESULTAT'!D18="Prélèvement de l'exploitant",'5. RESULTAT'!K18,0)</f>
        <v>0</v>
      </c>
      <c r="CO3" s="33"/>
      <c r="CP3" s="33" t="s">
        <v>97</v>
      </c>
      <c r="CQ3" s="33"/>
      <c r="CR3" s="33"/>
      <c r="CS3" s="33"/>
      <c r="CT3" s="35"/>
      <c r="CU3" s="37"/>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t="s">
        <v>335</v>
      </c>
      <c r="EB3" s="33" t="s">
        <v>335</v>
      </c>
      <c r="EC3" s="33" t="s">
        <v>335</v>
      </c>
      <c r="ED3" s="33" t="s">
        <v>335</v>
      </c>
      <c r="EE3" s="33" t="s">
        <v>335</v>
      </c>
      <c r="EF3" s="33"/>
      <c r="EG3" s="33"/>
      <c r="EH3" s="33" t="s">
        <v>336</v>
      </c>
      <c r="EI3" s="33">
        <f>IF('5. RESULTAT'!D17="Provisions",'5. RESULTAT'!K17,0)</f>
        <v>0</v>
      </c>
      <c r="EJ3" s="33">
        <f>IF('5. RESULTAT'!D17="Amortissement ",'5. RESULTAT'!K17,0)</f>
        <v>0</v>
      </c>
    </row>
    <row r="4" spans="1:140" ht="21.75" customHeight="1" x14ac:dyDescent="0.3">
      <c r="A4" s="31">
        <v>4</v>
      </c>
      <c r="B4" s="32" t="s">
        <v>337</v>
      </c>
      <c r="C4" s="33" t="s">
        <v>99</v>
      </c>
      <c r="D4" s="33"/>
      <c r="E4" s="33" t="s">
        <v>28</v>
      </c>
      <c r="F4" s="41">
        <f>'.'!F4</f>
        <v>0</v>
      </c>
      <c r="G4" s="41">
        <f>'.'!G4</f>
        <v>0</v>
      </c>
      <c r="H4" s="33"/>
      <c r="I4" s="33"/>
      <c r="J4" s="33"/>
      <c r="K4" s="33" t="s">
        <v>100</v>
      </c>
      <c r="L4" s="34" t="s">
        <v>32</v>
      </c>
      <c r="M4" s="33" t="s">
        <v>101</v>
      </c>
      <c r="N4" s="33" t="s">
        <v>338</v>
      </c>
      <c r="O4" s="33" t="s">
        <v>102</v>
      </c>
      <c r="P4" s="33"/>
      <c r="Q4" s="33" t="s">
        <v>339</v>
      </c>
      <c r="R4" s="33" t="s">
        <v>340</v>
      </c>
      <c r="S4" s="33" t="s">
        <v>341</v>
      </c>
      <c r="T4" s="33" t="s">
        <v>342</v>
      </c>
      <c r="U4" s="34" t="s">
        <v>343</v>
      </c>
      <c r="V4" s="34" t="s">
        <v>344</v>
      </c>
      <c r="W4" s="34" t="s">
        <v>345</v>
      </c>
      <c r="X4" s="33"/>
      <c r="Y4" s="33"/>
      <c r="Z4" s="33"/>
      <c r="AA4" s="33"/>
      <c r="AB4" s="33"/>
      <c r="AC4" s="33" t="s">
        <v>28</v>
      </c>
      <c r="AD4" s="33" t="s">
        <v>114</v>
      </c>
      <c r="AE4" s="33" t="s">
        <v>115</v>
      </c>
      <c r="AF4" s="33" t="s">
        <v>346</v>
      </c>
      <c r="AG4" s="33"/>
      <c r="AH4" s="33"/>
      <c r="AI4" s="33" t="s">
        <v>117</v>
      </c>
      <c r="AJ4" s="33" t="s">
        <v>101</v>
      </c>
      <c r="AK4" s="33" t="s">
        <v>101</v>
      </c>
      <c r="AL4" s="33" t="s">
        <v>101</v>
      </c>
      <c r="AM4" s="33"/>
      <c r="AN4" s="33"/>
      <c r="AO4" s="398" t="s">
        <v>118</v>
      </c>
      <c r="AP4" s="399"/>
      <c r="AQ4" s="400" t="s">
        <v>119</v>
      </c>
      <c r="AR4" s="399"/>
      <c r="AS4" s="399"/>
      <c r="AT4" s="399"/>
      <c r="AU4" s="33"/>
      <c r="AV4" s="38">
        <f>'5. RESULTAT'!K39</f>
        <v>260505333.33333334</v>
      </c>
      <c r="AW4" s="33"/>
      <c r="AX4" s="404">
        <f>'5. RESULTAT'!M39</f>
        <v>1.439255985267035</v>
      </c>
      <c r="AY4" s="33" t="s">
        <v>120</v>
      </c>
      <c r="AZ4" s="33" t="s">
        <v>121</v>
      </c>
      <c r="BA4" s="33" t="s">
        <v>122</v>
      </c>
      <c r="BB4" s="33" t="s">
        <v>123</v>
      </c>
      <c r="BC4" s="33" t="s">
        <v>124</v>
      </c>
      <c r="BD4" s="33"/>
      <c r="BE4" s="33"/>
      <c r="BF4" s="33">
        <f>ROUNDUP(BF3,2)</f>
        <v>-67.490000000000009</v>
      </c>
      <c r="BG4" s="33"/>
      <c r="BH4" s="33"/>
      <c r="BI4" s="33" t="str">
        <f>IF('8. PROPOSITION'!M12="","",IF('5. RESULTAT'!K32&lt;0,"Attention ! La capacité de remboursement est négative - veuillez échanger avec le client",BG5))</f>
        <v>La couverture de l'échéance est acceptable mais trop juste. Le risque d'impayé est à prendre en compte.</v>
      </c>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t="s">
        <v>35</v>
      </c>
      <c r="CN4" s="33">
        <f>IF('5. RESULTAT'!D19="Prélèvement de l'exploitant",'5. RESULTAT'!K19,0)</f>
        <v>0</v>
      </c>
      <c r="CO4" s="33"/>
      <c r="CP4" s="33" t="s">
        <v>125</v>
      </c>
      <c r="CQ4" s="34"/>
      <c r="CR4" s="34"/>
      <c r="CS4" s="34"/>
      <c r="CT4" s="42"/>
      <c r="CU4" s="4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t="s">
        <v>347</v>
      </c>
      <c r="EC4" s="33" t="s">
        <v>347</v>
      </c>
      <c r="ED4" s="33" t="s">
        <v>347</v>
      </c>
      <c r="EE4" s="33" t="s">
        <v>347</v>
      </c>
      <c r="EF4" s="33"/>
      <c r="EG4" s="33"/>
      <c r="EH4" s="33" t="s">
        <v>348</v>
      </c>
      <c r="EI4" s="33">
        <f>IF('5. RESULTAT'!D18="Provisions",'5. RESULTAT'!K18,0)</f>
        <v>0</v>
      </c>
      <c r="EJ4" s="33">
        <f>IF('5. RESULTAT'!D18="Amortissement ",'5. RESULTAT'!K18,0)</f>
        <v>0</v>
      </c>
    </row>
    <row r="5" spans="1:140" ht="60.75" customHeight="1" x14ac:dyDescent="0.3">
      <c r="A5" s="31">
        <v>5</v>
      </c>
      <c r="B5" s="32" t="s">
        <v>349</v>
      </c>
      <c r="C5" s="33" t="s">
        <v>25</v>
      </c>
      <c r="D5" s="33"/>
      <c r="E5" s="33" t="s">
        <v>29</v>
      </c>
      <c r="F5" s="41">
        <f>'.'!F5</f>
        <v>0</v>
      </c>
      <c r="G5" s="41">
        <f>'.'!G5</f>
        <v>0</v>
      </c>
      <c r="H5" s="33"/>
      <c r="I5" s="33"/>
      <c r="J5" s="33"/>
      <c r="K5" s="33" t="s">
        <v>127</v>
      </c>
      <c r="L5" s="34" t="s">
        <v>128</v>
      </c>
      <c r="M5" s="33" t="s">
        <v>90</v>
      </c>
      <c r="N5" s="33" t="s">
        <v>350</v>
      </c>
      <c r="O5" s="33" t="s">
        <v>129</v>
      </c>
      <c r="P5" s="33"/>
      <c r="Q5" s="33" t="s">
        <v>351</v>
      </c>
      <c r="R5" s="33" t="s">
        <v>352</v>
      </c>
      <c r="S5" s="33"/>
      <c r="T5" s="33" t="s">
        <v>353</v>
      </c>
      <c r="U5" s="34" t="s">
        <v>354</v>
      </c>
      <c r="V5" s="34" t="s">
        <v>355</v>
      </c>
      <c r="W5" s="34" t="s">
        <v>356</v>
      </c>
      <c r="X5" s="33"/>
      <c r="Y5" s="33"/>
      <c r="Z5" s="33"/>
      <c r="AA5" s="33"/>
      <c r="AB5" s="33"/>
      <c r="AC5" s="33" t="s">
        <v>29</v>
      </c>
      <c r="AD5" s="33" t="s">
        <v>141</v>
      </c>
      <c r="AE5" s="33" t="s">
        <v>142</v>
      </c>
      <c r="AF5" s="33" t="s">
        <v>357</v>
      </c>
      <c r="AG5" s="33"/>
      <c r="AH5" s="33"/>
      <c r="AI5" s="33" t="s">
        <v>144</v>
      </c>
      <c r="AJ5" s="33" t="s">
        <v>145</v>
      </c>
      <c r="AK5" s="33" t="s">
        <v>145</v>
      </c>
      <c r="AL5" s="33" t="s">
        <v>145</v>
      </c>
      <c r="AM5" s="33"/>
      <c r="AN5" s="33"/>
      <c r="AO5" s="399"/>
      <c r="AP5" s="399"/>
      <c r="AQ5" s="400" t="s">
        <v>146</v>
      </c>
      <c r="AR5" s="399"/>
      <c r="AS5" s="399"/>
      <c r="AT5" s="399"/>
      <c r="AU5" s="33"/>
      <c r="AV5" s="38">
        <f>'5. RESULTAT'!K40</f>
        <v>181000000</v>
      </c>
      <c r="AW5" s="33"/>
      <c r="AX5" s="399"/>
      <c r="AY5" s="33" t="s">
        <v>147</v>
      </c>
      <c r="AZ5" s="33" t="s">
        <v>148</v>
      </c>
      <c r="BA5" s="33" t="s">
        <v>149</v>
      </c>
      <c r="BB5" s="33" t="s">
        <v>150</v>
      </c>
      <c r="BC5" s="33" t="s">
        <v>151</v>
      </c>
      <c r="BD5" s="33"/>
      <c r="BE5" s="33"/>
      <c r="BF5" s="33"/>
      <c r="BG5" s="33" t="str">
        <f>IF(AX4&gt;4,AY5,IF(AND(AX4&lt;=4,AX4&gt;=2),AZ5,IF(AND(AX4&lt;2,AX4&gt;=1.5),BA5,IF(AND(AX4&lt;1.5,AX4&gt;=1),BB5,IF(AX4&lt;1,BC5,"")))))</f>
        <v>La couverture de l'échéance est acceptable mais trop juste. Le risque d'impayé est à prendre en compte.</v>
      </c>
      <c r="BH5" s="33"/>
      <c r="BI5" s="33" t="str">
        <f>IF('5. RESULTAT'!K33&lt;0,"Attention ! La capacité de rembourssement est négative - veuillez échanger avec le client",IF('8. PROPOSITION'!M13="","",BG6))</f>
        <v/>
      </c>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t="s">
        <v>35</v>
      </c>
      <c r="CN5" s="33">
        <f>IF('5. RESULTAT'!D20="Prélèvement de l'exploitant",'5. RESULTAT'!K20,0)</f>
        <v>0</v>
      </c>
      <c r="CO5" s="33"/>
      <c r="CP5" s="34" t="s">
        <v>152</v>
      </c>
      <c r="CQ5" s="33"/>
      <c r="CR5" s="33"/>
      <c r="CS5" s="33"/>
      <c r="CT5" s="35"/>
      <c r="CU5" s="44">
        <f>'5. RESULTAT'!K32/'8. PROPOSITION'!M20</f>
        <v>260505333.33333334</v>
      </c>
      <c r="CV5" s="45" t="s">
        <v>358</v>
      </c>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t="s">
        <v>359</v>
      </c>
      <c r="ED5" s="33" t="s">
        <v>359</v>
      </c>
      <c r="EE5" s="33" t="s">
        <v>359</v>
      </c>
      <c r="EF5" s="33"/>
      <c r="EG5" s="33"/>
      <c r="EH5" s="33" t="s">
        <v>360</v>
      </c>
      <c r="EI5" s="33">
        <f>IF('5. RESULTAT'!D19="Provisions",'5. RESULTAT'!K19,0)</f>
        <v>0</v>
      </c>
      <c r="EJ5" s="33">
        <f>IF('5. RESULTAT'!D19="Amortissement ",'5. RESULTAT'!K19,0)</f>
        <v>0</v>
      </c>
    </row>
    <row r="6" spans="1:140" ht="34.5" customHeight="1" x14ac:dyDescent="0.3">
      <c r="A6" s="31">
        <v>6</v>
      </c>
      <c r="B6" s="32" t="s">
        <v>361</v>
      </c>
      <c r="C6" s="33"/>
      <c r="D6" s="33"/>
      <c r="E6" s="33"/>
      <c r="F6" s="38">
        <f>'.'!F6</f>
        <v>922680000</v>
      </c>
      <c r="G6" s="38">
        <f>'.'!G6</f>
        <v>1700000000</v>
      </c>
      <c r="H6" s="33"/>
      <c r="I6" s="33"/>
      <c r="J6" s="33"/>
      <c r="K6" s="33" t="s">
        <v>154</v>
      </c>
      <c r="L6" s="34" t="s">
        <v>155</v>
      </c>
      <c r="M6" s="33" t="s">
        <v>156</v>
      </c>
      <c r="N6" s="33" t="s">
        <v>362</v>
      </c>
      <c r="O6" s="33" t="s">
        <v>157</v>
      </c>
      <c r="P6" s="33"/>
      <c r="Q6" s="33" t="s">
        <v>363</v>
      </c>
      <c r="R6" s="33" t="s">
        <v>364</v>
      </c>
      <c r="S6" s="33"/>
      <c r="T6" s="33" t="s">
        <v>365</v>
      </c>
      <c r="U6" s="33"/>
      <c r="V6" s="46"/>
      <c r="W6" s="34" t="s">
        <v>366</v>
      </c>
      <c r="X6" s="34"/>
      <c r="Y6" s="33"/>
      <c r="Z6" s="33"/>
      <c r="AA6" s="33"/>
      <c r="AB6" s="33"/>
      <c r="AC6" s="33"/>
      <c r="AD6" s="33" t="s">
        <v>168</v>
      </c>
      <c r="AE6" s="33" t="s">
        <v>169</v>
      </c>
      <c r="AF6" s="33" t="s">
        <v>367</v>
      </c>
      <c r="AG6" s="33"/>
      <c r="AH6" s="33"/>
      <c r="AI6" s="33" t="s">
        <v>171</v>
      </c>
      <c r="AJ6" s="33" t="s">
        <v>172</v>
      </c>
      <c r="AK6" s="33" t="s">
        <v>172</v>
      </c>
      <c r="AL6" s="33" t="s">
        <v>173</v>
      </c>
      <c r="AM6" s="33"/>
      <c r="AN6" s="33"/>
      <c r="AO6" s="398" t="s">
        <v>174</v>
      </c>
      <c r="AP6" s="399"/>
      <c r="AQ6" s="400" t="s">
        <v>175</v>
      </c>
      <c r="AR6" s="399"/>
      <c r="AS6" s="399"/>
      <c r="AT6" s="399"/>
      <c r="AU6" s="33"/>
      <c r="AV6" s="38">
        <f>'5. RESULTAT'!K41</f>
        <v>56000000</v>
      </c>
      <c r="AW6" s="33"/>
      <c r="AX6" s="404">
        <f>'5. RESULTAT'!M41</f>
        <v>2.8</v>
      </c>
      <c r="AY6" s="33" t="s">
        <v>120</v>
      </c>
      <c r="AZ6" s="33" t="s">
        <v>121</v>
      </c>
      <c r="BA6" s="33" t="s">
        <v>122</v>
      </c>
      <c r="BB6" s="33" t="s">
        <v>123</v>
      </c>
      <c r="BC6" s="33" t="s">
        <v>124</v>
      </c>
      <c r="BD6" s="33"/>
      <c r="BE6" s="33"/>
      <c r="BF6" s="33"/>
      <c r="BG6" s="33"/>
      <c r="BH6" s="33"/>
      <c r="BI6" s="33" t="str">
        <f>IF('8. PROPOSITION'!M12="","",BG7)</f>
        <v xml:space="preserve">Bon ratio. Les actifs à court terme surpassent les dettes à moins d'un an et dégagent un surplus important. </v>
      </c>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t="s">
        <v>35</v>
      </c>
      <c r="CN6" s="33">
        <f>IF('5. RESULTAT'!D21="Prélèvement de l'exploitant",'5. RESULTAT'!K21,0)</f>
        <v>0</v>
      </c>
      <c r="CO6" s="33"/>
      <c r="CP6" s="33" t="s">
        <v>176</v>
      </c>
      <c r="CQ6" s="33"/>
      <c r="CR6" s="33"/>
      <c r="CS6" s="33"/>
      <c r="CT6" s="33"/>
      <c r="CU6" s="47"/>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t="s">
        <v>368</v>
      </c>
      <c r="EE6" s="33" t="s">
        <v>368</v>
      </c>
      <c r="EF6" s="33"/>
      <c r="EG6" s="33"/>
      <c r="EH6" s="33" t="s">
        <v>369</v>
      </c>
      <c r="EI6" s="33">
        <f>IF('5. RESULTAT'!D20="Provisions",'5. RESULTAT'!K20,0)</f>
        <v>0</v>
      </c>
      <c r="EJ6" s="33">
        <f>IF('5. RESULTAT'!D20="Amortissement ",'5. RESULTAT'!K20,0)</f>
        <v>0</v>
      </c>
    </row>
    <row r="7" spans="1:140" ht="25.5" customHeight="1" x14ac:dyDescent="0.3">
      <c r="A7" s="31"/>
      <c r="B7" s="33"/>
      <c r="C7" s="33"/>
      <c r="D7" s="33"/>
      <c r="E7" s="33"/>
      <c r="F7" s="33"/>
      <c r="G7" s="33"/>
      <c r="H7" s="33"/>
      <c r="I7" s="33"/>
      <c r="J7" s="33"/>
      <c r="K7" s="33" t="s">
        <v>177</v>
      </c>
      <c r="L7" s="33"/>
      <c r="M7" s="33" t="s">
        <v>145</v>
      </c>
      <c r="N7" s="33" t="s">
        <v>370</v>
      </c>
      <c r="O7" s="33" t="s">
        <v>178</v>
      </c>
      <c r="P7" s="33"/>
      <c r="Q7" s="33"/>
      <c r="R7" s="33"/>
      <c r="S7" s="33"/>
      <c r="T7" s="33"/>
      <c r="U7" s="33"/>
      <c r="V7" s="46"/>
      <c r="W7" s="34" t="s">
        <v>371</v>
      </c>
      <c r="X7" s="33"/>
      <c r="Y7" s="33"/>
      <c r="Z7" s="33"/>
      <c r="AA7" s="33"/>
      <c r="AB7" s="33"/>
      <c r="AC7" s="33"/>
      <c r="AD7" s="33" t="s">
        <v>188</v>
      </c>
      <c r="AE7" s="33" t="s">
        <v>189</v>
      </c>
      <c r="AF7" s="33" t="s">
        <v>25</v>
      </c>
      <c r="AG7" s="33"/>
      <c r="AH7" s="33"/>
      <c r="AI7" s="33" t="s">
        <v>156</v>
      </c>
      <c r="AJ7" s="33" t="s">
        <v>173</v>
      </c>
      <c r="AK7" s="33" t="s">
        <v>173</v>
      </c>
      <c r="AL7" s="33" t="s">
        <v>190</v>
      </c>
      <c r="AM7" s="33"/>
      <c r="AN7" s="33"/>
      <c r="AO7" s="399"/>
      <c r="AP7" s="399"/>
      <c r="AQ7" s="400" t="s">
        <v>191</v>
      </c>
      <c r="AR7" s="399"/>
      <c r="AS7" s="399"/>
      <c r="AT7" s="399"/>
      <c r="AU7" s="399"/>
      <c r="AV7" s="38">
        <f>'5. RESULTAT'!K42</f>
        <v>20000000</v>
      </c>
      <c r="AW7" s="33"/>
      <c r="AX7" s="399"/>
      <c r="AY7" s="33" t="s">
        <v>192</v>
      </c>
      <c r="AZ7" s="33" t="s">
        <v>193</v>
      </c>
      <c r="BA7" s="33" t="s">
        <v>193</v>
      </c>
      <c r="BB7" s="33" t="s">
        <v>194</v>
      </c>
      <c r="BC7" s="33" t="s">
        <v>195</v>
      </c>
      <c r="BD7" s="33"/>
      <c r="BE7" s="33"/>
      <c r="BF7" s="33"/>
      <c r="BG7" s="33" t="str">
        <f>IF(AX6&gt;4,AY7,IF(AND(AX6&lt;=4,AX6&gt;=2),AZ7,IF(AND(AX6&lt;2,AX6&gt;=1.5),BA7,IF(AND(AX6&lt;1.5,AX6&gt;=1),BB7,IF(AX6&lt;1,BC7,"")))))</f>
        <v xml:space="preserve">Bon ratio. Les actifs à court terme surpassent les dettes à moins d'un an et dégagent un surplus important. </v>
      </c>
      <c r="BH7" s="33"/>
      <c r="BI7" s="48" t="str">
        <f>IF('5. RESULTAT'!K32&lt;0,"Attention ! La capacité de remboursement est négative - veuillez échanger avec le client",IF('8. PROPOSITION'!M15="","",BG8))</f>
        <v/>
      </c>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t="s">
        <v>35</v>
      </c>
      <c r="CN7" s="33">
        <f>IF('5. RESULTAT'!D22="Prélèvement de l'exploitant",'5. RESULTAT'!K22,0)</f>
        <v>0</v>
      </c>
      <c r="CO7" s="33"/>
      <c r="CP7" s="33"/>
      <c r="CQ7" s="33"/>
      <c r="CR7" s="33"/>
      <c r="CS7" s="33"/>
      <c r="CT7" s="33"/>
      <c r="CU7" s="33"/>
      <c r="CV7" s="33"/>
      <c r="CW7" s="49"/>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t="s">
        <v>372</v>
      </c>
      <c r="EF7" s="33"/>
      <c r="EG7" s="33"/>
      <c r="EH7" s="33" t="s">
        <v>373</v>
      </c>
      <c r="EI7" s="33">
        <f>IF('5. RESULTAT'!D21="Provisions",'5. RESULTAT'!K21,0)</f>
        <v>0</v>
      </c>
      <c r="EJ7" s="33">
        <f>IF('5. RESULTAT'!D21="Amortissement ",'5. RESULTAT'!K21,0)</f>
        <v>0</v>
      </c>
    </row>
    <row r="8" spans="1:140" ht="24" customHeight="1" x14ac:dyDescent="0.3">
      <c r="A8" s="31"/>
      <c r="B8" s="33"/>
      <c r="C8" s="33"/>
      <c r="D8" s="33"/>
      <c r="E8" s="33"/>
      <c r="F8" s="33"/>
      <c r="G8" s="33"/>
      <c r="H8" s="33"/>
      <c r="I8" s="33"/>
      <c r="J8" s="33"/>
      <c r="K8" s="33" t="s">
        <v>196</v>
      </c>
      <c r="L8" s="33" t="s">
        <v>197</v>
      </c>
      <c r="M8" s="33" t="s">
        <v>198</v>
      </c>
      <c r="N8" s="33" t="s">
        <v>374</v>
      </c>
      <c r="O8" s="33" t="s">
        <v>199</v>
      </c>
      <c r="P8" s="50"/>
      <c r="Q8" s="50" t="s">
        <v>318</v>
      </c>
      <c r="R8" s="50" t="s">
        <v>328</v>
      </c>
      <c r="S8" s="50"/>
      <c r="T8" s="50"/>
      <c r="U8" s="50"/>
      <c r="V8" s="50"/>
      <c r="W8" s="50"/>
      <c r="X8" s="33"/>
      <c r="Y8" s="33"/>
      <c r="Z8" s="33"/>
      <c r="AA8" s="33"/>
      <c r="AB8" s="33"/>
      <c r="AC8" s="33"/>
      <c r="AD8" s="33" t="s">
        <v>25</v>
      </c>
      <c r="AE8" s="33" t="s">
        <v>115</v>
      </c>
      <c r="AF8" s="33"/>
      <c r="AG8" s="33"/>
      <c r="AH8" s="33"/>
      <c r="AI8" s="33" t="s">
        <v>205</v>
      </c>
      <c r="AJ8" s="33" t="s">
        <v>190</v>
      </c>
      <c r="AK8" s="33" t="s">
        <v>190</v>
      </c>
      <c r="AL8" s="33" t="s">
        <v>206</v>
      </c>
      <c r="AM8" s="33"/>
      <c r="AN8" s="33"/>
      <c r="AO8" s="398" t="s">
        <v>207</v>
      </c>
      <c r="AP8" s="399"/>
      <c r="AQ8" s="400" t="s">
        <v>208</v>
      </c>
      <c r="AR8" s="399"/>
      <c r="AS8" s="399"/>
      <c r="AT8" s="399"/>
      <c r="AU8" s="33"/>
      <c r="AV8" s="38">
        <f>'5. RESULTAT'!K43</f>
        <v>20000000</v>
      </c>
      <c r="AW8" s="33"/>
      <c r="AX8" s="404">
        <f>'5. RESULTAT'!M43</f>
        <v>1.7050298380221655E-2</v>
      </c>
      <c r="AY8" s="33" t="s">
        <v>209</v>
      </c>
      <c r="AZ8" s="33" t="s">
        <v>210</v>
      </c>
      <c r="BA8" s="33" t="s">
        <v>210</v>
      </c>
      <c r="BB8" s="33" t="s">
        <v>211</v>
      </c>
      <c r="BC8" s="33" t="s">
        <v>212</v>
      </c>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t="s">
        <v>35</v>
      </c>
      <c r="CN8" s="33">
        <f>IF('5. RESULTAT'!D23="Prélèvement de l'exploitant",'5. RESULTAT'!K23,0)</f>
        <v>0</v>
      </c>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t="s">
        <v>375</v>
      </c>
      <c r="EI8" s="33">
        <f>IF('5. RESULTAT'!D22="Provisions",'5. RESULTAT'!K22,0)</f>
        <v>0</v>
      </c>
      <c r="EJ8" s="33">
        <f>IF('5. RESULTAT'!D22="Amortissement ",'5. RESULTAT'!K22,0)</f>
        <v>0</v>
      </c>
    </row>
    <row r="9" spans="1:140" ht="14.4" x14ac:dyDescent="0.3">
      <c r="A9" s="31"/>
      <c r="B9" s="33"/>
      <c r="C9" s="33"/>
      <c r="D9" s="33"/>
      <c r="E9" s="33"/>
      <c r="F9" s="33"/>
      <c r="G9" s="33"/>
      <c r="H9" s="33"/>
      <c r="I9" s="33"/>
      <c r="J9" s="33"/>
      <c r="K9" s="33" t="s">
        <v>213</v>
      </c>
      <c r="L9" s="34" t="s">
        <v>5</v>
      </c>
      <c r="M9" s="33" t="s">
        <v>172</v>
      </c>
      <c r="N9" s="33" t="s">
        <v>376</v>
      </c>
      <c r="O9" s="33" t="s">
        <v>214</v>
      </c>
      <c r="P9" s="33"/>
      <c r="Q9" s="33" t="s">
        <v>377</v>
      </c>
      <c r="R9" s="33" t="s">
        <v>378</v>
      </c>
      <c r="S9" s="33" t="s">
        <v>379</v>
      </c>
      <c r="T9" s="33"/>
      <c r="U9" s="33"/>
      <c r="V9" s="33"/>
      <c r="W9" s="33"/>
      <c r="X9" s="33"/>
      <c r="Y9" s="33"/>
      <c r="Z9" s="33"/>
      <c r="AA9" s="33"/>
      <c r="AB9" s="33"/>
      <c r="AC9" s="33"/>
      <c r="AD9" s="33"/>
      <c r="AE9" s="33" t="s">
        <v>25</v>
      </c>
      <c r="AF9" s="33"/>
      <c r="AG9" s="33"/>
      <c r="AH9" s="33"/>
      <c r="AI9" s="33" t="s">
        <v>25</v>
      </c>
      <c r="AJ9" s="33" t="s">
        <v>206</v>
      </c>
      <c r="AK9" s="33" t="s">
        <v>206</v>
      </c>
      <c r="AL9" s="33" t="s">
        <v>220</v>
      </c>
      <c r="AM9" s="33"/>
      <c r="AN9" s="33"/>
      <c r="AO9" s="399"/>
      <c r="AP9" s="399"/>
      <c r="AQ9" s="400" t="s">
        <v>221</v>
      </c>
      <c r="AR9" s="399"/>
      <c r="AS9" s="399"/>
      <c r="AT9" s="399"/>
      <c r="AU9" s="399"/>
      <c r="AV9" s="38">
        <f>'5. RESULTAT'!K44</f>
        <v>1173000000</v>
      </c>
      <c r="AW9" s="33"/>
      <c r="AX9" s="399"/>
      <c r="AY9" s="33" t="s">
        <v>222</v>
      </c>
      <c r="AZ9" s="33" t="s">
        <v>223</v>
      </c>
      <c r="BA9" s="33"/>
      <c r="BB9" s="33" t="s">
        <v>380</v>
      </c>
      <c r="BC9" s="33" t="s">
        <v>225</v>
      </c>
      <c r="BD9" s="33"/>
      <c r="BE9" s="33"/>
      <c r="BF9" s="33" t="str">
        <f>IF('3. BILAN'!I37&lt;0,"Attention, les fonds propres sont négatifs. Il faut échanger avec le client.",PARAMETRAGE!BG9)</f>
        <v>Excellent ratio de solvabilité. Les dettes de l'entreprise sont très faibles par rapport aux fonds propres</v>
      </c>
      <c r="BG9" s="33" t="str">
        <f>IF(AX8&lt;0.1,AY9,IF(AND(AX8&gt;=0.1,AX8&lt;=0.5),AZ9,IF(AND(AX8&gt;0.5,AX8&lt;=1),BB9,IF(AX8&gt;1,BC9,""))))</f>
        <v>Excellent ratio de solvabilité. Les dettes de l'entreprise sont très faibles par rapport aux fonds propres</v>
      </c>
      <c r="BH9" s="33"/>
      <c r="BI9" s="33" t="str">
        <f>IF('8. PROPOSITION'!M12="","",BF9)</f>
        <v>Excellent ratio de solvabilité. Les dettes de l'entreprise sont très faibles par rapport aux fonds propres</v>
      </c>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t="s">
        <v>35</v>
      </c>
      <c r="CN9" s="33">
        <f>IF('5. RESULTAT'!D24="Prélèvement de l'exploitant",'5. RESULTAT'!K24,0)</f>
        <v>0</v>
      </c>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t="s">
        <v>381</v>
      </c>
      <c r="EA9" s="33" t="s">
        <v>382</v>
      </c>
      <c r="EB9" s="33" t="s">
        <v>383</v>
      </c>
      <c r="EC9" s="33" t="s">
        <v>384</v>
      </c>
      <c r="ED9" s="33" t="s">
        <v>385</v>
      </c>
      <c r="EE9" s="33" t="s">
        <v>386</v>
      </c>
      <c r="EF9" s="33"/>
      <c r="EG9" s="33"/>
      <c r="EH9" s="33" t="s">
        <v>387</v>
      </c>
      <c r="EI9" s="33">
        <f>IF('5. RESULTAT'!D23="Provisions",'5. RESULTAT'!K23,0)</f>
        <v>0</v>
      </c>
      <c r="EJ9" s="33">
        <f>IF('5. RESULTAT'!D23="Amortissement ",'5. RESULTAT'!K23,0)</f>
        <v>0</v>
      </c>
    </row>
    <row r="10" spans="1:140" ht="14.4" x14ac:dyDescent="0.3">
      <c r="A10" s="31"/>
      <c r="B10" s="33"/>
      <c r="C10" s="33"/>
      <c r="D10" s="33"/>
      <c r="E10" s="33"/>
      <c r="F10" s="33"/>
      <c r="G10" s="33"/>
      <c r="H10" s="33"/>
      <c r="I10" s="33"/>
      <c r="J10" s="33"/>
      <c r="K10" s="33" t="s">
        <v>226</v>
      </c>
      <c r="L10" s="34" t="s">
        <v>41</v>
      </c>
      <c r="M10" s="33" t="s">
        <v>227</v>
      </c>
      <c r="N10" s="33"/>
      <c r="O10" s="33" t="s">
        <v>228</v>
      </c>
      <c r="P10" s="33"/>
      <c r="Q10" s="33" t="s">
        <v>388</v>
      </c>
      <c r="R10" s="33" t="s">
        <v>389</v>
      </c>
      <c r="S10" s="33" t="s">
        <v>379</v>
      </c>
      <c r="T10" s="33"/>
      <c r="U10" s="33"/>
      <c r="V10" s="33"/>
      <c r="W10" s="33"/>
      <c r="X10" s="33"/>
      <c r="Y10" s="33"/>
      <c r="Z10" s="33"/>
      <c r="AA10" s="33"/>
      <c r="AB10" s="33"/>
      <c r="AC10" s="33"/>
      <c r="AD10" s="33"/>
      <c r="AE10" s="33"/>
      <c r="AF10" s="33"/>
      <c r="AG10" s="33"/>
      <c r="AH10" s="33"/>
      <c r="AI10" s="33"/>
      <c r="AJ10" s="33" t="s">
        <v>220</v>
      </c>
      <c r="AK10" s="33" t="s">
        <v>220</v>
      </c>
      <c r="AL10" s="33" t="s">
        <v>232</v>
      </c>
      <c r="AM10" s="33"/>
      <c r="AN10" s="33"/>
      <c r="AO10" s="398" t="s">
        <v>233</v>
      </c>
      <c r="AP10" s="399"/>
      <c r="AQ10" s="400" t="s">
        <v>234</v>
      </c>
      <c r="AR10" s="399"/>
      <c r="AS10" s="399"/>
      <c r="AT10" s="399"/>
      <c r="AU10" s="33"/>
      <c r="AV10" s="38">
        <f>'5. RESULTAT'!K45</f>
        <v>36000000</v>
      </c>
      <c r="AW10" s="33"/>
      <c r="AX10" s="404">
        <f>'5. RESULTAT'!M45</f>
        <v>1.8</v>
      </c>
      <c r="AY10" s="33" t="s">
        <v>120</v>
      </c>
      <c r="AZ10" s="33" t="s">
        <v>121</v>
      </c>
      <c r="BA10" s="33" t="s">
        <v>235</v>
      </c>
      <c r="BB10" s="33" t="s">
        <v>236</v>
      </c>
      <c r="BC10" s="33" t="s">
        <v>237</v>
      </c>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t="s">
        <v>35</v>
      </c>
      <c r="CN10" s="33">
        <f>IF('5. RESULTAT'!D25="Prélèvement de l'exploitant",'5. RESULTAT'!K25,0)</f>
        <v>0</v>
      </c>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t="s">
        <v>390</v>
      </c>
      <c r="EI10" s="33">
        <f>IF('5. RESULTAT'!D24="Provisions",'5. RESULTAT'!K24,0)</f>
        <v>0</v>
      </c>
      <c r="EJ10" s="33">
        <f>IF('5. RESULTAT'!D24="Amortissement ",'5. RESULTAT'!K24,0)</f>
        <v>0</v>
      </c>
    </row>
    <row r="11" spans="1:140" ht="26.25" customHeight="1" x14ac:dyDescent="0.3">
      <c r="A11" s="31"/>
      <c r="B11" s="33"/>
      <c r="C11" s="33"/>
      <c r="D11" s="33"/>
      <c r="E11" s="34"/>
      <c r="F11" s="33"/>
      <c r="G11" s="33"/>
      <c r="H11" s="33"/>
      <c r="I11" s="33"/>
      <c r="J11" s="33"/>
      <c r="K11" s="33" t="s">
        <v>238</v>
      </c>
      <c r="L11" s="34" t="s">
        <v>73</v>
      </c>
      <c r="M11" s="33" t="s">
        <v>173</v>
      </c>
      <c r="N11" s="33"/>
      <c r="O11" s="33" t="s">
        <v>239</v>
      </c>
      <c r="P11" s="33"/>
      <c r="Q11" s="33" t="s">
        <v>391</v>
      </c>
      <c r="R11" s="33" t="s">
        <v>392</v>
      </c>
      <c r="S11" s="33" t="s">
        <v>379</v>
      </c>
      <c r="T11" s="33"/>
      <c r="U11" s="33"/>
      <c r="V11" s="33"/>
      <c r="W11" s="33"/>
      <c r="X11" s="33"/>
      <c r="Y11" s="33"/>
      <c r="Z11" s="33"/>
      <c r="AA11" s="33"/>
      <c r="AB11" s="33"/>
      <c r="AC11" s="33"/>
      <c r="AD11" s="33"/>
      <c r="AE11" s="33"/>
      <c r="AF11" s="33"/>
      <c r="AG11" s="33"/>
      <c r="AH11" s="33"/>
      <c r="AI11" s="33"/>
      <c r="AJ11" s="33" t="s">
        <v>232</v>
      </c>
      <c r="AK11" s="33" t="s">
        <v>240</v>
      </c>
      <c r="AL11" s="33" t="s">
        <v>240</v>
      </c>
      <c r="AM11" s="33"/>
      <c r="AN11" s="33"/>
      <c r="AO11" s="399"/>
      <c r="AP11" s="399"/>
      <c r="AQ11" s="400" t="s">
        <v>191</v>
      </c>
      <c r="AR11" s="399"/>
      <c r="AS11" s="399"/>
      <c r="AT11" s="399"/>
      <c r="AU11" s="399"/>
      <c r="AV11" s="38">
        <f>'5. RESULTAT'!K46</f>
        <v>20000000</v>
      </c>
      <c r="AW11" s="33"/>
      <c r="AX11" s="399"/>
      <c r="AY11" s="33" t="s">
        <v>241</v>
      </c>
      <c r="AZ11" s="33" t="s">
        <v>242</v>
      </c>
      <c r="BA11" s="33" t="s">
        <v>243</v>
      </c>
      <c r="BB11" s="33" t="s">
        <v>244</v>
      </c>
      <c r="BC11" s="33" t="s">
        <v>245</v>
      </c>
      <c r="BD11" s="33"/>
      <c r="BE11" s="33"/>
      <c r="BF11" s="33"/>
      <c r="BG11" s="33" t="str">
        <f>IF(AX10&gt;4,AY11,IF(AND(AX10&lt;=4,AX10&gt;=2),AZ11,IF(AND(AX10&lt;2,AX10&gt;=1),BA11,IF(AND(AX10&lt;1,AX10&gt;=0.75),BB11,IF(AX10&lt;0.75,BC11,"")))))</f>
        <v>Ratio respectant la norme. Les dettes à moins d'un an seront réglées.</v>
      </c>
      <c r="BH11" s="33"/>
      <c r="BI11" s="33" t="str">
        <f>IF('8. PROPOSITION'!M12="","",BG11)</f>
        <v>Ratio respectant la norme. Les dettes à moins d'un an seront réglées.</v>
      </c>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t="s">
        <v>35</v>
      </c>
      <c r="CN11" s="33">
        <f>IF('5. RESULTAT'!D26="Prélèvement de l'exploitant",'5. RESULTAT'!K26,0)</f>
        <v>0</v>
      </c>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t="s">
        <v>393</v>
      </c>
      <c r="EI11" s="33">
        <f>'5. RESULTAT'!D25</f>
        <v>0</v>
      </c>
      <c r="EJ11" s="33">
        <f>IF('5. RESULTAT'!D25="Amortissement ",'5. RESULTAT'!K25,0)</f>
        <v>0</v>
      </c>
    </row>
    <row r="12" spans="1:140" ht="43.2" x14ac:dyDescent="0.3">
      <c r="A12" s="51"/>
      <c r="B12" s="34" t="s">
        <v>246</v>
      </c>
      <c r="C12" s="34" t="s">
        <v>247</v>
      </c>
      <c r="D12" s="34" t="s">
        <v>248</v>
      </c>
      <c r="E12" s="34" t="s">
        <v>248</v>
      </c>
      <c r="F12" s="34" t="s">
        <v>248</v>
      </c>
      <c r="G12" s="34" t="s">
        <v>248</v>
      </c>
      <c r="H12" s="34" t="s">
        <v>248</v>
      </c>
      <c r="I12" s="34" t="s">
        <v>248</v>
      </c>
      <c r="J12" s="34"/>
      <c r="K12" s="34" t="s">
        <v>249</v>
      </c>
      <c r="L12" s="34" t="s">
        <v>32</v>
      </c>
      <c r="M12" s="34" t="s">
        <v>190</v>
      </c>
      <c r="N12" s="33"/>
      <c r="O12" s="34" t="s">
        <v>250</v>
      </c>
      <c r="P12" s="34"/>
      <c r="Q12" s="33" t="s">
        <v>394</v>
      </c>
      <c r="R12" s="33" t="s">
        <v>395</v>
      </c>
      <c r="S12" s="33" t="s">
        <v>379</v>
      </c>
      <c r="T12" s="34"/>
      <c r="U12" s="34"/>
      <c r="V12" s="34"/>
      <c r="W12" s="34"/>
      <c r="X12" s="34"/>
      <c r="Y12" s="34"/>
      <c r="Z12" s="34"/>
      <c r="AA12" s="34"/>
      <c r="AB12" s="34"/>
      <c r="AC12" s="34"/>
      <c r="AD12" s="34"/>
      <c r="AE12" s="34"/>
      <c r="AF12" s="34"/>
      <c r="AG12" s="34"/>
      <c r="AH12" s="34"/>
      <c r="AI12" s="34"/>
      <c r="AJ12" s="34" t="s">
        <v>240</v>
      </c>
      <c r="AK12" s="34" t="s">
        <v>251</v>
      </c>
      <c r="AL12" s="33" t="s">
        <v>396</v>
      </c>
      <c r="AM12" s="34"/>
      <c r="AN12" s="34"/>
      <c r="AO12" s="398" t="s">
        <v>253</v>
      </c>
      <c r="AP12" s="399"/>
      <c r="AQ12" s="402" t="s">
        <v>254</v>
      </c>
      <c r="AR12" s="399"/>
      <c r="AS12" s="399"/>
      <c r="AT12" s="399"/>
      <c r="AU12" s="34"/>
      <c r="AV12" s="52">
        <f>'5. RESULTAT'!K47</f>
        <v>320000000</v>
      </c>
      <c r="AW12" s="34"/>
      <c r="AX12" s="403">
        <f>'5. RESULTAT'!M47</f>
        <v>0.21433355659745479</v>
      </c>
      <c r="AY12" s="34" t="s">
        <v>255</v>
      </c>
      <c r="AZ12" s="34" t="s">
        <v>256</v>
      </c>
      <c r="BA12" s="34" t="s">
        <v>257</v>
      </c>
      <c r="BB12" s="34" t="s">
        <v>258</v>
      </c>
      <c r="BC12" s="34" t="s">
        <v>96</v>
      </c>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t="s">
        <v>259</v>
      </c>
      <c r="CN12" s="34">
        <f>CN1+CN2+CN3+CN4+CN5+CN6+CN7+CN8+CN9+CN10+CN11</f>
        <v>0</v>
      </c>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53">
        <f>EI12+EJ12</f>
        <v>0</v>
      </c>
      <c r="EI12" s="54">
        <f t="shared" ref="EI12:EJ12" si="0">EI2+EI3+EI4+EI5+EI6+EI7+EI8+EI9+EI10+EI11</f>
        <v>0</v>
      </c>
      <c r="EJ12" s="54">
        <f t="shared" si="0"/>
        <v>0</v>
      </c>
    </row>
    <row r="13" spans="1:140" ht="39" customHeight="1" x14ac:dyDescent="0.3">
      <c r="A13" s="31"/>
      <c r="B13" s="32" t="str">
        <f>'7. RISQUE'!B13</f>
        <v xml:space="preserve">A. Direction 
Compétences, expériences, qualité morale, stabilité sociale..  </v>
      </c>
      <c r="C13" s="33">
        <f>IF('7. RISQUE'!$B$23="Veuillez noter tous les critères de risques !",0,'7. RISQUE'!H13)</f>
        <v>1</v>
      </c>
      <c r="D13" s="33">
        <v>6</v>
      </c>
      <c r="E13" s="33">
        <v>5</v>
      </c>
      <c r="F13" s="33">
        <v>4</v>
      </c>
      <c r="G13" s="33">
        <v>3</v>
      </c>
      <c r="H13" s="33">
        <v>2</v>
      </c>
      <c r="I13" s="33">
        <v>1</v>
      </c>
      <c r="J13" s="33"/>
      <c r="K13" s="33" t="s">
        <v>260</v>
      </c>
      <c r="L13" s="34" t="s">
        <v>128</v>
      </c>
      <c r="M13" s="33" t="s">
        <v>261</v>
      </c>
      <c r="N13" s="33"/>
      <c r="O13" s="33"/>
      <c r="P13" s="33"/>
      <c r="Q13" s="33" t="s">
        <v>397</v>
      </c>
      <c r="R13" s="33" t="s">
        <v>398</v>
      </c>
      <c r="S13" s="33" t="s">
        <v>379</v>
      </c>
      <c r="T13" s="33"/>
      <c r="U13" s="33"/>
      <c r="V13" s="33"/>
      <c r="W13" s="33"/>
      <c r="X13" s="33"/>
      <c r="Y13" s="33"/>
      <c r="Z13" s="33"/>
      <c r="AA13" s="33"/>
      <c r="AB13" s="33"/>
      <c r="AC13" s="33"/>
      <c r="AD13" s="33"/>
      <c r="AE13" s="33"/>
      <c r="AF13" s="33"/>
      <c r="AG13" s="33"/>
      <c r="AH13" s="33"/>
      <c r="AI13" s="33"/>
      <c r="AJ13" s="33" t="s">
        <v>251</v>
      </c>
      <c r="AK13" s="34" t="s">
        <v>396</v>
      </c>
      <c r="AL13" s="34" t="s">
        <v>252</v>
      </c>
      <c r="AM13" s="33"/>
      <c r="AN13" s="33"/>
      <c r="AO13" s="399"/>
      <c r="AP13" s="399"/>
      <c r="AQ13" s="400" t="s">
        <v>263</v>
      </c>
      <c r="AR13" s="399"/>
      <c r="AS13" s="399"/>
      <c r="AT13" s="399"/>
      <c r="AU13" s="399"/>
      <c r="AV13" s="38">
        <f>'5. RESULTAT'!K48</f>
        <v>1493000000</v>
      </c>
      <c r="AW13" s="33"/>
      <c r="AX13" s="399"/>
      <c r="AY13" s="33" t="s">
        <v>264</v>
      </c>
      <c r="AZ13" s="33" t="s">
        <v>265</v>
      </c>
      <c r="BA13" s="33" t="s">
        <v>266</v>
      </c>
      <c r="BB13" s="33" t="s">
        <v>267</v>
      </c>
      <c r="BC13" s="33" t="s">
        <v>268</v>
      </c>
      <c r="BD13" s="33"/>
      <c r="BE13" s="33"/>
      <c r="BF13" s="33"/>
      <c r="BG13" s="33" t="str">
        <f>IF(AX12&lt;10%,AY13,IF(AND(AX12&gt;=10%,AX12&lt;25%),AZ13,IF(AND(AX12&gt;=25%,AX12&lt;65%),BA13,IF(AND(AX12&gt;65%,AX12&lt;=100%),BB13,IF(AX12&gt;100%,BC13,"")))))</f>
        <v>Niveau d'endettement faible pour l'entreprise. Elle possède une bonne marge pour s'endetter davantage.</v>
      </c>
      <c r="BH13" s="33"/>
      <c r="BI13" s="33" t="str">
        <f>IF('8. PROPOSITION'!M12="","",BG13)</f>
        <v>Niveau d'endettement faible pour l'entreprise. Elle possède une bonne marge pour s'endetter davantage.</v>
      </c>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row>
    <row r="14" spans="1:140" ht="27.75" customHeight="1" x14ac:dyDescent="0.3">
      <c r="A14" s="31"/>
      <c r="B14" s="32" t="str">
        <f>'7. RISQUE'!B14</f>
        <v>B. Historique de crédits et scoring de remboursement</v>
      </c>
      <c r="C14" s="33">
        <f>IF('7. RISQUE'!$B$23="Veuillez noter tous les critères de risques !",0,'7. RISQUE'!H14)</f>
        <v>4</v>
      </c>
      <c r="D14" s="33">
        <v>6</v>
      </c>
      <c r="E14" s="33">
        <v>5</v>
      </c>
      <c r="F14" s="33">
        <v>4</v>
      </c>
      <c r="G14" s="33">
        <v>3</v>
      </c>
      <c r="H14" s="33">
        <v>2</v>
      </c>
      <c r="I14" s="33">
        <v>1</v>
      </c>
      <c r="J14" s="33"/>
      <c r="K14" s="33" t="s">
        <v>269</v>
      </c>
      <c r="L14" s="34" t="s">
        <v>155</v>
      </c>
      <c r="M14" s="33" t="s">
        <v>220</v>
      </c>
      <c r="N14" s="34"/>
      <c r="O14" s="33"/>
      <c r="P14" s="33"/>
      <c r="Q14" s="33" t="s">
        <v>399</v>
      </c>
      <c r="R14" s="33" t="s">
        <v>400</v>
      </c>
      <c r="S14" s="33" t="s">
        <v>379</v>
      </c>
      <c r="T14" s="33"/>
      <c r="U14" s="33"/>
      <c r="V14" s="33"/>
      <c r="W14" s="33"/>
      <c r="X14" s="33"/>
      <c r="Y14" s="33"/>
      <c r="Z14" s="33"/>
      <c r="AA14" s="33"/>
      <c r="AB14" s="33"/>
      <c r="AC14" s="33"/>
      <c r="AD14" s="33"/>
      <c r="AE14" s="33"/>
      <c r="AF14" s="33"/>
      <c r="AG14" s="33"/>
      <c r="AH14" s="33"/>
      <c r="AI14" s="33"/>
      <c r="AJ14" s="33" t="s">
        <v>396</v>
      </c>
      <c r="AK14" s="33" t="s">
        <v>252</v>
      </c>
      <c r="AL14" s="33" t="s">
        <v>262</v>
      </c>
      <c r="AM14" s="33"/>
      <c r="AN14" s="33"/>
      <c r="AO14" s="398" t="s">
        <v>271</v>
      </c>
      <c r="AP14" s="399"/>
      <c r="AQ14" s="400" t="s">
        <v>272</v>
      </c>
      <c r="AR14" s="399"/>
      <c r="AS14" s="399"/>
      <c r="AT14" s="399"/>
      <c r="AU14" s="33"/>
      <c r="AV14" s="38">
        <f>'5. RESULTAT'!K49</f>
        <v>450800000</v>
      </c>
      <c r="AW14" s="33"/>
      <c r="AX14" s="403">
        <f>'5. RESULTAT'!M49</f>
        <v>0.36581526166989636</v>
      </c>
      <c r="AY14" s="33" t="s">
        <v>273</v>
      </c>
      <c r="AZ14" s="33" t="s">
        <v>274</v>
      </c>
      <c r="BA14" s="33"/>
      <c r="BB14" s="33" t="s">
        <v>258</v>
      </c>
      <c r="BC14" s="33" t="s">
        <v>96</v>
      </c>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row>
    <row r="15" spans="1:140" ht="24" customHeight="1" x14ac:dyDescent="0.3">
      <c r="A15" s="31"/>
      <c r="B15" s="32" t="str">
        <f>'7. RISQUE'!B15</f>
        <v>C. Accès aux intrants</v>
      </c>
      <c r="C15" s="33">
        <f>IF('7. RISQUE'!$B$23="Veuillez noter tous les critères de risques !",0,'7. RISQUE'!H15)</f>
        <v>2</v>
      </c>
      <c r="D15" s="33">
        <v>6</v>
      </c>
      <c r="E15" s="33">
        <v>5</v>
      </c>
      <c r="F15" s="33">
        <v>4</v>
      </c>
      <c r="G15" s="33">
        <v>3</v>
      </c>
      <c r="H15" s="33">
        <v>2</v>
      </c>
      <c r="I15" s="33">
        <v>1</v>
      </c>
      <c r="J15" s="33"/>
      <c r="K15" s="33" t="s">
        <v>275</v>
      </c>
      <c r="L15" s="33"/>
      <c r="M15" s="33" t="s">
        <v>232</v>
      </c>
      <c r="N15" s="33"/>
      <c r="O15" s="33"/>
      <c r="P15" s="33"/>
      <c r="Q15" s="33" t="s">
        <v>401</v>
      </c>
      <c r="R15" s="33" t="s">
        <v>402</v>
      </c>
      <c r="S15" s="33" t="s">
        <v>379</v>
      </c>
      <c r="T15" s="33"/>
      <c r="U15" s="33"/>
      <c r="V15" s="33"/>
      <c r="W15" s="33"/>
      <c r="X15" s="33"/>
      <c r="Y15" s="33"/>
      <c r="Z15" s="33"/>
      <c r="AA15" s="33"/>
      <c r="AB15" s="33"/>
      <c r="AC15" s="33"/>
      <c r="AD15" s="33"/>
      <c r="AE15" s="33"/>
      <c r="AF15" s="33"/>
      <c r="AG15" s="33"/>
      <c r="AH15" s="33"/>
      <c r="AI15" s="33"/>
      <c r="AJ15" s="33" t="s">
        <v>252</v>
      </c>
      <c r="AK15" s="33" t="s">
        <v>262</v>
      </c>
      <c r="AL15" s="33" t="s">
        <v>270</v>
      </c>
      <c r="AM15" s="33"/>
      <c r="AN15" s="33"/>
      <c r="AO15" s="399"/>
      <c r="AP15" s="399"/>
      <c r="AQ15" s="400" t="s">
        <v>276</v>
      </c>
      <c r="AR15" s="399"/>
      <c r="AS15" s="399"/>
      <c r="AT15" s="399"/>
      <c r="AU15" s="399"/>
      <c r="AV15" s="38">
        <f>'5. RESULTAT'!K50</f>
        <v>1232316000</v>
      </c>
      <c r="AW15" s="33"/>
      <c r="AX15" s="399"/>
      <c r="AY15" s="33" t="s">
        <v>277</v>
      </c>
      <c r="AZ15" s="33" t="s">
        <v>278</v>
      </c>
      <c r="BA15" s="33"/>
      <c r="BB15" s="33" t="s">
        <v>279</v>
      </c>
      <c r="BC15" s="33" t="s">
        <v>403</v>
      </c>
      <c r="BD15" s="33"/>
      <c r="BE15" s="33"/>
      <c r="BF15" s="55" t="str">
        <f>IF(('5. RESULTAT'!K28+'4. BUDGET FAMILIAL'!K17)&lt;0,"Le cumul des revenus de cet entrepreneur est négatif - Impossible de couvrir les dépenses familiales.",BG15)</f>
        <v xml:space="preserve">Le niveau de consommation du ménage de l'entrepreneur est dans les normes. </v>
      </c>
      <c r="BG15" s="33" t="str">
        <f>IF(AX14&lt;=35%,AY15,IF(AND(AX14&gt;35%,AX14&lt;=65%),AZ15,IF(AND(AX14&gt;65%,AX14&lt;=100%),BB15,IF(AX14&gt;100%,BC15,""))))</f>
        <v xml:space="preserve">Le niveau de consommation du ménage de l'entrepreneur est dans les normes. </v>
      </c>
      <c r="BH15" s="33"/>
      <c r="BI15" s="33" t="str">
        <f>IF('8. PROPOSITION'!M12="","",BF15)</f>
        <v xml:space="preserve">Le niveau de consommation du ménage de l'entrepreneur est dans les normes. </v>
      </c>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row>
    <row r="16" spans="1:140" ht="14.4" x14ac:dyDescent="0.3">
      <c r="A16" s="31"/>
      <c r="B16" s="32" t="str">
        <f>'7. RISQUE'!B16</f>
        <v>D. Accès et position dans le marché</v>
      </c>
      <c r="C16" s="33">
        <f>IF('7. RISQUE'!$B$23="Veuillez noter tous les critères de risques !",0,'7. RISQUE'!H16)</f>
        <v>3</v>
      </c>
      <c r="D16" s="33">
        <v>6</v>
      </c>
      <c r="E16" s="33">
        <v>5</v>
      </c>
      <c r="F16" s="33">
        <v>4</v>
      </c>
      <c r="G16" s="33">
        <v>3</v>
      </c>
      <c r="H16" s="33">
        <v>2</v>
      </c>
      <c r="I16" s="33">
        <v>1</v>
      </c>
      <c r="J16" s="33"/>
      <c r="K16" s="33" t="s">
        <v>281</v>
      </c>
      <c r="L16" s="33"/>
      <c r="M16" s="33" t="s">
        <v>240</v>
      </c>
      <c r="N16" s="33"/>
      <c r="O16" s="33"/>
      <c r="P16" s="33"/>
      <c r="Q16" s="33" t="s">
        <v>404</v>
      </c>
      <c r="R16" s="33" t="s">
        <v>405</v>
      </c>
      <c r="S16" s="33" t="s">
        <v>379</v>
      </c>
      <c r="T16" s="33"/>
      <c r="U16" s="33"/>
      <c r="V16" s="33"/>
      <c r="W16" s="33"/>
      <c r="X16" s="33"/>
      <c r="Y16" s="33"/>
      <c r="Z16" s="33"/>
      <c r="AA16" s="33"/>
      <c r="AB16" s="33"/>
      <c r="AC16" s="33"/>
      <c r="AD16" s="33"/>
      <c r="AE16" s="33"/>
      <c r="AF16" s="33"/>
      <c r="AG16" s="33"/>
      <c r="AH16" s="33"/>
      <c r="AI16" s="33"/>
      <c r="AJ16" s="33" t="s">
        <v>262</v>
      </c>
      <c r="AK16" s="33" t="s">
        <v>270</v>
      </c>
      <c r="AL16" s="33" t="s">
        <v>25</v>
      </c>
      <c r="AM16" s="33"/>
      <c r="AN16" s="33"/>
      <c r="AO16" s="398" t="s">
        <v>282</v>
      </c>
      <c r="AP16" s="399"/>
      <c r="AQ16" s="400" t="s">
        <v>283</v>
      </c>
      <c r="AR16" s="399"/>
      <c r="AS16" s="399"/>
      <c r="AT16" s="399"/>
      <c r="AU16" s="33"/>
      <c r="AV16" s="38">
        <f>'5. RESULTAT'!K51</f>
        <v>454996000</v>
      </c>
      <c r="AW16" s="33"/>
      <c r="AX16" s="403">
        <f>'5. RESULTAT'!M51</f>
        <v>0.36922023247283975</v>
      </c>
      <c r="AY16" s="33" t="s">
        <v>284</v>
      </c>
      <c r="AZ16" s="33">
        <f>0</f>
        <v>0</v>
      </c>
      <c r="BA16" s="33" t="s">
        <v>285</v>
      </c>
      <c r="BB16" s="33" t="s">
        <v>286</v>
      </c>
      <c r="BC16" s="33" t="s">
        <v>96</v>
      </c>
      <c r="BD16" s="33"/>
      <c r="BE16" s="33"/>
      <c r="BF16" s="33"/>
      <c r="BG16" s="33"/>
      <c r="BH16" s="33"/>
      <c r="BI16" s="33" t="str">
        <f>IF('8. PROPOSITION'!M13="","",BF16)</f>
        <v/>
      </c>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row>
    <row r="17" spans="1:140" ht="14.4" x14ac:dyDescent="0.3">
      <c r="A17" s="31"/>
      <c r="B17" s="32" t="str">
        <f>'7. RISQUE'!B17</f>
        <v>E. Qualité des actifs de l'entreprise/exploitation</v>
      </c>
      <c r="C17" s="33">
        <f>IF('7. RISQUE'!$B$23="Veuillez noter tous les critères de risques !",0,'7. RISQUE'!H17)</f>
        <v>3</v>
      </c>
      <c r="D17" s="33">
        <v>6</v>
      </c>
      <c r="E17" s="33">
        <v>5</v>
      </c>
      <c r="F17" s="33">
        <v>4</v>
      </c>
      <c r="G17" s="33">
        <v>3</v>
      </c>
      <c r="H17" s="33">
        <v>2</v>
      </c>
      <c r="I17" s="33">
        <v>1</v>
      </c>
      <c r="J17" s="33"/>
      <c r="K17" s="33" t="s">
        <v>406</v>
      </c>
      <c r="L17" s="33"/>
      <c r="M17" s="33" t="s">
        <v>251</v>
      </c>
      <c r="N17" s="33"/>
      <c r="O17" s="33"/>
      <c r="P17" s="33"/>
      <c r="Q17" s="33"/>
      <c r="R17" s="33" t="s">
        <v>407</v>
      </c>
      <c r="S17" s="33"/>
      <c r="T17" s="33"/>
      <c r="U17" s="33"/>
      <c r="V17" s="33"/>
      <c r="W17" s="33"/>
      <c r="X17" s="33"/>
      <c r="Y17" s="33"/>
      <c r="Z17" s="33"/>
      <c r="AA17" s="33"/>
      <c r="AB17" s="33"/>
      <c r="AC17" s="33"/>
      <c r="AD17" s="33"/>
      <c r="AE17" s="33"/>
      <c r="AF17" s="33"/>
      <c r="AG17" s="33"/>
      <c r="AH17" s="33"/>
      <c r="AI17" s="33"/>
      <c r="AJ17" s="33" t="s">
        <v>270</v>
      </c>
      <c r="AK17" s="33" t="s">
        <v>25</v>
      </c>
      <c r="AL17" s="33"/>
      <c r="AM17" s="33"/>
      <c r="AN17" s="33"/>
      <c r="AO17" s="399"/>
      <c r="AP17" s="399"/>
      <c r="AQ17" s="400" t="s">
        <v>276</v>
      </c>
      <c r="AR17" s="399"/>
      <c r="AS17" s="399"/>
      <c r="AT17" s="399"/>
      <c r="AU17" s="399"/>
      <c r="AV17" s="38">
        <f>'5. RESULTAT'!K52</f>
        <v>1232316000</v>
      </c>
      <c r="AW17" s="33"/>
      <c r="AX17" s="399"/>
      <c r="AY17" s="33" t="s">
        <v>408</v>
      </c>
      <c r="AZ17" s="33" t="s">
        <v>289</v>
      </c>
      <c r="BA17" s="33" t="s">
        <v>290</v>
      </c>
      <c r="BB17" s="33" t="s">
        <v>291</v>
      </c>
      <c r="BC17" s="33" t="s">
        <v>292</v>
      </c>
      <c r="BD17" s="33"/>
      <c r="BE17" s="33"/>
      <c r="BF17" s="33" t="str">
        <f>IF(('5. RESULTAT'!K28+'4. BUDGET FAMILIAL'!K17)&lt;0,"Le cumul des revenus de cet entrepreneur est négatif - Le bénéfice d'exploitation est déficitaire.",BG17)</f>
        <v xml:space="preserve">Ratio de dépendance aux autres revenus dans la norme. </v>
      </c>
      <c r="BG17" s="33" t="str">
        <f>IF(AX16&lt;0%,AY17,IF(AX16=0%,AZ17,IF(AND(AX16&gt;0%,AX16&lt;=50%),BA17,IF(AND(AX16&gt;50%,AX16&lt;=100%),BB17,IF(AX16&gt;100%,BC17,"")))))</f>
        <v xml:space="preserve">Ratio de dépendance aux autres revenus dans la norme. </v>
      </c>
      <c r="BH17" s="33"/>
      <c r="BI17" s="33" t="str">
        <f>IF('8. PROPOSITION'!M12="","",BG17)</f>
        <v xml:space="preserve">Ratio de dépendance aux autres revenus dans la norme. </v>
      </c>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row>
    <row r="18" spans="1:140" ht="14.4" x14ac:dyDescent="0.3">
      <c r="A18" s="31"/>
      <c r="B18" s="32" t="str">
        <f>'7. RISQUE'!B18</f>
        <v>F. Production et Exploitation</v>
      </c>
      <c r="C18" s="33">
        <f>IF('7. RISQUE'!$B$23="Veuillez noter tous les critères de risques !",0,'7. RISQUE'!H18)</f>
        <v>6</v>
      </c>
      <c r="D18" s="33">
        <v>6</v>
      </c>
      <c r="E18" s="33">
        <v>5</v>
      </c>
      <c r="F18" s="33">
        <v>4</v>
      </c>
      <c r="G18" s="33">
        <v>3</v>
      </c>
      <c r="H18" s="33">
        <v>2</v>
      </c>
      <c r="I18" s="33">
        <v>1</v>
      </c>
      <c r="J18" s="33"/>
      <c r="K18" s="33" t="s">
        <v>293</v>
      </c>
      <c r="L18" s="33"/>
      <c r="M18" s="33" t="s">
        <v>252</v>
      </c>
      <c r="N18" s="33"/>
      <c r="O18" s="33"/>
      <c r="P18" s="33"/>
      <c r="Q18" s="33"/>
      <c r="R18" s="33" t="s">
        <v>409</v>
      </c>
      <c r="S18" s="33"/>
      <c r="T18" s="33"/>
      <c r="U18" s="33"/>
      <c r="V18" s="33"/>
      <c r="W18" s="33"/>
      <c r="X18" s="33"/>
      <c r="Y18" s="33"/>
      <c r="Z18" s="33"/>
      <c r="AA18" s="33"/>
      <c r="AB18" s="33"/>
      <c r="AC18" s="33"/>
      <c r="AD18" s="33"/>
      <c r="AE18" s="33"/>
      <c r="AF18" s="33"/>
      <c r="AG18" s="33"/>
      <c r="AH18" s="33"/>
      <c r="AI18" s="33"/>
      <c r="AJ18" s="33" t="s">
        <v>25</v>
      </c>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row>
    <row r="19" spans="1:140" ht="14.4" x14ac:dyDescent="0.3">
      <c r="A19" s="31"/>
      <c r="B19" s="32" t="str">
        <f>'7. RISQUE'!B19</f>
        <v>G. Environnement</v>
      </c>
      <c r="C19" s="33">
        <f>IF('7. RISQUE'!$B$23="Veuillez noter tous les critères de risques !",0,'7. RISQUE'!H19)</f>
        <v>2</v>
      </c>
      <c r="D19" s="33">
        <v>6</v>
      </c>
      <c r="E19" s="33">
        <v>5</v>
      </c>
      <c r="F19" s="33">
        <v>4</v>
      </c>
      <c r="G19" s="33">
        <v>3</v>
      </c>
      <c r="H19" s="33">
        <v>2</v>
      </c>
      <c r="I19" s="33">
        <v>1</v>
      </c>
      <c r="J19" s="33"/>
      <c r="K19" s="33" t="s">
        <v>294</v>
      </c>
      <c r="L19" s="33"/>
      <c r="M19" s="33" t="s">
        <v>262</v>
      </c>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row>
    <row r="20" spans="1:140" ht="14.4" x14ac:dyDescent="0.3">
      <c r="A20" s="31"/>
      <c r="B20" s="32" t="str">
        <f>'7. RISQUE'!B20</f>
        <v>H. Capacité de remboursement, Solvabilité et niveau d'endettement</v>
      </c>
      <c r="C20" s="33">
        <f>IF('7. RISQUE'!$B$23="Veuillez noter tous les critères de risques !",0,'7. RISQUE'!H20)</f>
        <v>3</v>
      </c>
      <c r="D20" s="33">
        <v>6</v>
      </c>
      <c r="E20" s="33">
        <v>5</v>
      </c>
      <c r="F20" s="33">
        <v>4</v>
      </c>
      <c r="G20" s="33">
        <v>3</v>
      </c>
      <c r="H20" s="33">
        <v>2</v>
      </c>
      <c r="I20" s="33">
        <v>1</v>
      </c>
      <c r="J20" s="33"/>
      <c r="K20" s="33" t="s">
        <v>295</v>
      </c>
      <c r="L20" s="33"/>
      <c r="M20" s="33" t="s">
        <v>270</v>
      </c>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row>
    <row r="21" spans="1:140" ht="15.75" customHeight="1" x14ac:dyDescent="0.3">
      <c r="A21" s="31"/>
      <c r="B21" s="33"/>
      <c r="C21" s="33"/>
      <c r="D21" s="33"/>
      <c r="E21" s="33"/>
      <c r="F21" s="33"/>
      <c r="G21" s="33"/>
      <c r="H21" s="33"/>
      <c r="I21" s="33"/>
      <c r="J21" s="33"/>
      <c r="K21" s="33" t="s">
        <v>296</v>
      </c>
      <c r="L21" s="33"/>
      <c r="M21" s="33" t="s">
        <v>25</v>
      </c>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row>
    <row r="22" spans="1:140" ht="15.75" customHeight="1" x14ac:dyDescent="0.3">
      <c r="A22" s="31"/>
      <c r="B22" s="33"/>
      <c r="C22" s="33"/>
      <c r="D22" s="33"/>
      <c r="E22" s="33"/>
      <c r="F22" s="33"/>
      <c r="G22" s="33"/>
      <c r="H22" s="33"/>
      <c r="I22" s="33"/>
      <c r="J22" s="33"/>
      <c r="K22" s="33" t="s">
        <v>97</v>
      </c>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row>
    <row r="23" spans="1:140" ht="15.75" customHeight="1" x14ac:dyDescent="0.3">
      <c r="A23" s="31"/>
      <c r="B23" s="33"/>
      <c r="C23" s="33"/>
      <c r="D23" s="33"/>
      <c r="E23" s="33"/>
      <c r="F23" s="33"/>
      <c r="G23" s="33"/>
      <c r="H23" s="33"/>
      <c r="I23" s="33"/>
      <c r="J23" s="33"/>
      <c r="K23" s="33" t="s">
        <v>297</v>
      </c>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row>
    <row r="24" spans="1:140" ht="15.75" customHeight="1" x14ac:dyDescent="0.3">
      <c r="A24" s="31"/>
      <c r="B24" s="33"/>
      <c r="C24" s="33"/>
      <c r="D24" s="33"/>
      <c r="E24" s="33"/>
      <c r="F24" s="33"/>
      <c r="G24" s="33"/>
      <c r="H24" s="33"/>
      <c r="I24" s="33"/>
      <c r="J24" s="33"/>
      <c r="K24" s="33" t="s">
        <v>410</v>
      </c>
      <c r="L24" s="33"/>
      <c r="M24" s="33" t="s">
        <v>411</v>
      </c>
      <c r="N24" s="34" t="s">
        <v>412</v>
      </c>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row>
    <row r="25" spans="1:140" ht="15.75" customHeight="1" x14ac:dyDescent="0.3">
      <c r="A25" s="31"/>
      <c r="B25" s="33"/>
      <c r="C25" s="33"/>
      <c r="D25" s="33"/>
      <c r="E25" s="33"/>
      <c r="F25" s="33"/>
      <c r="G25" s="33"/>
      <c r="H25" s="33"/>
      <c r="I25" s="33"/>
      <c r="J25" s="33"/>
      <c r="K25" s="33" t="s">
        <v>25</v>
      </c>
      <c r="L25" s="33"/>
      <c r="M25" s="33" t="s">
        <v>413</v>
      </c>
      <c r="N25" s="34" t="s">
        <v>414</v>
      </c>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row>
    <row r="26" spans="1:140" ht="15.75" customHeight="1" x14ac:dyDescent="0.3">
      <c r="A26" s="31"/>
      <c r="B26" s="33"/>
      <c r="C26" s="33"/>
      <c r="D26" s="33"/>
      <c r="E26" s="33"/>
      <c r="F26" s="33"/>
      <c r="G26" s="33"/>
      <c r="H26" s="33"/>
      <c r="I26" s="33"/>
      <c r="J26" s="33"/>
      <c r="K26" s="33"/>
      <c r="L26" s="33"/>
      <c r="M26" s="33" t="s">
        <v>415</v>
      </c>
      <c r="N26" s="34" t="s">
        <v>416</v>
      </c>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row>
    <row r="27" spans="1:140" ht="15.75" customHeight="1" x14ac:dyDescent="0.3">
      <c r="A27" s="31"/>
      <c r="B27" s="33"/>
      <c r="C27" s="33"/>
      <c r="D27" s="33"/>
      <c r="E27" s="33"/>
      <c r="F27" s="33"/>
      <c r="G27" s="33"/>
      <c r="H27" s="33"/>
      <c r="I27" s="33"/>
      <c r="J27" s="33"/>
      <c r="K27" s="33"/>
      <c r="L27" s="33"/>
      <c r="M27" s="33" t="s">
        <v>417</v>
      </c>
      <c r="N27" s="34" t="s">
        <v>418</v>
      </c>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row>
    <row r="28" spans="1:140" ht="15.75" customHeight="1" x14ac:dyDescent="0.3">
      <c r="A28" s="31"/>
      <c r="B28" s="33"/>
      <c r="C28" s="33"/>
      <c r="D28" s="33"/>
      <c r="E28" s="33"/>
      <c r="F28" s="33"/>
      <c r="G28" s="33"/>
      <c r="H28" s="33"/>
      <c r="I28" s="33"/>
      <c r="J28" s="33"/>
      <c r="K28" s="33"/>
      <c r="L28" s="33"/>
      <c r="M28" s="33" t="s">
        <v>419</v>
      </c>
      <c r="N28" s="34" t="s">
        <v>420</v>
      </c>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row>
    <row r="29" spans="1:140" ht="15.75" customHeight="1" x14ac:dyDescent="0.3">
      <c r="A29" s="31"/>
      <c r="B29" s="33"/>
      <c r="C29" s="33"/>
      <c r="D29" s="33"/>
      <c r="E29" s="33"/>
      <c r="F29" s="33"/>
      <c r="G29" s="33"/>
      <c r="H29" s="33"/>
      <c r="I29" s="33"/>
      <c r="J29" s="33"/>
      <c r="K29" s="33"/>
      <c r="L29" s="33"/>
      <c r="M29" s="33" t="s">
        <v>421</v>
      </c>
      <c r="N29" s="34" t="s">
        <v>422</v>
      </c>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row>
    <row r="30" spans="1:140" ht="15.75" customHeight="1" x14ac:dyDescent="0.3">
      <c r="A30" s="31"/>
      <c r="B30" s="33"/>
      <c r="C30" s="33"/>
      <c r="D30" s="33"/>
      <c r="E30" s="33"/>
      <c r="F30" s="33"/>
      <c r="G30" s="33"/>
      <c r="H30" s="33"/>
      <c r="I30" s="33"/>
      <c r="J30" s="33"/>
      <c r="K30" s="33"/>
      <c r="L30" s="33"/>
      <c r="M30" s="33" t="s">
        <v>423</v>
      </c>
      <c r="N30" s="34" t="s">
        <v>424</v>
      </c>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row>
    <row r="31" spans="1:140" ht="15.75" customHeight="1" x14ac:dyDescent="0.3">
      <c r="A31" s="31"/>
      <c r="B31" s="33"/>
      <c r="C31" s="33"/>
      <c r="D31" s="33"/>
      <c r="E31" s="33"/>
      <c r="F31" s="33"/>
      <c r="G31" s="33"/>
      <c r="H31" s="33"/>
      <c r="I31" s="33"/>
      <c r="J31" s="33"/>
      <c r="K31" s="33"/>
      <c r="L31" s="33"/>
      <c r="M31" s="33" t="s">
        <v>425</v>
      </c>
      <c r="N31" s="34" t="s">
        <v>426</v>
      </c>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row>
    <row r="32" spans="1:140" ht="15.75" customHeight="1" x14ac:dyDescent="0.3">
      <c r="A32" s="31"/>
      <c r="B32" s="33"/>
      <c r="C32" s="33"/>
      <c r="D32" s="33"/>
      <c r="E32" s="33"/>
      <c r="F32" s="33"/>
      <c r="G32" s="33"/>
      <c r="H32" s="33"/>
      <c r="I32" s="33"/>
      <c r="J32" s="33"/>
      <c r="K32" s="33"/>
      <c r="L32" s="33"/>
      <c r="M32" s="33" t="s">
        <v>427</v>
      </c>
      <c r="N32" s="33" t="s">
        <v>428</v>
      </c>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row>
    <row r="33" spans="1:140" ht="15.75" customHeight="1" x14ac:dyDescent="0.3">
      <c r="A33" s="31"/>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row>
    <row r="34" spans="1:140" ht="15.75" customHeight="1" x14ac:dyDescent="0.3">
      <c r="A34" s="31"/>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row>
    <row r="35" spans="1:140" ht="15.75" customHeight="1" x14ac:dyDescent="0.3">
      <c r="A35" s="31"/>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row>
    <row r="36" spans="1:140" ht="15.75" customHeight="1" x14ac:dyDescent="0.3">
      <c r="A36" s="31"/>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row>
    <row r="37" spans="1:140" ht="15.75" customHeight="1" x14ac:dyDescent="0.3">
      <c r="A37" s="31"/>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row>
    <row r="38" spans="1:140" ht="15.75" customHeight="1" x14ac:dyDescent="0.3">
      <c r="A38" s="31"/>
      <c r="B38" s="33"/>
      <c r="C38" s="33"/>
      <c r="D38" s="33"/>
      <c r="E38" s="56"/>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row>
    <row r="39" spans="1:140" ht="15.75" customHeight="1" x14ac:dyDescent="0.3">
      <c r="A39" s="31"/>
      <c r="B39" s="33"/>
      <c r="C39" s="56"/>
      <c r="D39" s="56"/>
      <c r="E39" s="33"/>
      <c r="F39" s="56"/>
      <c r="G39" s="5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row>
    <row r="40" spans="1:140" ht="15.75" customHeight="1" x14ac:dyDescent="0.3">
      <c r="A40" s="31"/>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row>
    <row r="41" spans="1:140" ht="15.75" customHeight="1" x14ac:dyDescent="0.3">
      <c r="A41" s="31"/>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row>
    <row r="42" spans="1:140" ht="15.75" customHeight="1" x14ac:dyDescent="0.3">
      <c r="A42" s="31"/>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row>
    <row r="43" spans="1:140" ht="15.75" customHeight="1" x14ac:dyDescent="0.3">
      <c r="A43" s="31"/>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row>
    <row r="44" spans="1:140" ht="15.75" customHeight="1" x14ac:dyDescent="0.3">
      <c r="A44" s="31"/>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row>
    <row r="45" spans="1:140" ht="15.75" customHeight="1" x14ac:dyDescent="0.3">
      <c r="A45" s="31"/>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row>
    <row r="46" spans="1:140" ht="15.75" customHeight="1" x14ac:dyDescent="0.3">
      <c r="A46" s="31"/>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row>
    <row r="47" spans="1:140" ht="15.75" customHeight="1" x14ac:dyDescent="0.3">
      <c r="A47" s="31"/>
      <c r="B47" s="33"/>
      <c r="C47" s="33"/>
      <c r="D47" s="33"/>
      <c r="E47" s="33"/>
      <c r="F47" s="33"/>
      <c r="G47" s="33"/>
      <c r="H47" s="401"/>
      <c r="I47" s="399"/>
      <c r="J47" s="399"/>
      <c r="K47" s="399"/>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row>
    <row r="48" spans="1:140" ht="15.75" customHeight="1" x14ac:dyDescent="0.3">
      <c r="A48" s="31"/>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row>
    <row r="49" spans="1:140" ht="15.75" customHeight="1" x14ac:dyDescent="0.3">
      <c r="A49" s="31"/>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row>
    <row r="50" spans="1:140" ht="15.75" customHeight="1" x14ac:dyDescent="0.3">
      <c r="A50" s="31"/>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row>
    <row r="51" spans="1:140" ht="15.75" customHeight="1" x14ac:dyDescent="0.3">
      <c r="A51" s="31"/>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row>
    <row r="52" spans="1:140" ht="15.75" customHeight="1" x14ac:dyDescent="0.3">
      <c r="A52" s="31"/>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row>
    <row r="53" spans="1:140" ht="15.75" customHeight="1" x14ac:dyDescent="0.3">
      <c r="A53" s="31"/>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row>
    <row r="54" spans="1:140" ht="15.75" customHeight="1" x14ac:dyDescent="0.3">
      <c r="A54" s="31"/>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row>
    <row r="55" spans="1:140" ht="15.75" customHeight="1" x14ac:dyDescent="0.3">
      <c r="A55" s="31"/>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row>
    <row r="56" spans="1:140" ht="15.75" customHeight="1" x14ac:dyDescent="0.3">
      <c r="A56" s="31"/>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row>
    <row r="57" spans="1:140" ht="15.75" customHeight="1" x14ac:dyDescent="0.3">
      <c r="A57" s="31"/>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row>
    <row r="58" spans="1:140" ht="15.75" customHeight="1" x14ac:dyDescent="0.3">
      <c r="A58" s="31"/>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row>
    <row r="59" spans="1:140" ht="15.75" customHeight="1" x14ac:dyDescent="0.3">
      <c r="A59" s="31"/>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row>
    <row r="60" spans="1:140" ht="15.75" customHeight="1" x14ac:dyDescent="0.3">
      <c r="A60" s="31"/>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row>
    <row r="61" spans="1:140" ht="15.75" customHeight="1" x14ac:dyDescent="0.3">
      <c r="A61" s="31"/>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row>
    <row r="62" spans="1:140" ht="15.75" customHeight="1" x14ac:dyDescent="0.3">
      <c r="A62" s="31"/>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row>
    <row r="63" spans="1:140" ht="15.75" customHeight="1" x14ac:dyDescent="0.3">
      <c r="A63" s="31"/>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row>
    <row r="64" spans="1:140" ht="15.75" customHeight="1" x14ac:dyDescent="0.3">
      <c r="A64" s="31"/>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row>
    <row r="65" spans="1:140" ht="15.75" customHeight="1" x14ac:dyDescent="0.3">
      <c r="A65" s="31"/>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c r="EI65" s="33"/>
      <c r="EJ65" s="33"/>
    </row>
    <row r="66" spans="1:140" ht="15.75" customHeight="1" x14ac:dyDescent="0.3">
      <c r="A66" s="31"/>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row>
    <row r="67" spans="1:140" ht="15.75" customHeight="1" x14ac:dyDescent="0.3">
      <c r="A67" s="31"/>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row>
    <row r="68" spans="1:140" ht="15.75" customHeight="1" x14ac:dyDescent="0.3">
      <c r="A68" s="31"/>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row>
    <row r="69" spans="1:140" ht="15.75" customHeight="1" x14ac:dyDescent="0.3">
      <c r="A69" s="31"/>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row>
    <row r="70" spans="1:140" ht="15.75" customHeight="1" x14ac:dyDescent="0.3">
      <c r="A70" s="31"/>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row>
    <row r="71" spans="1:140" ht="15.75" customHeight="1" x14ac:dyDescent="0.3">
      <c r="A71" s="31"/>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row>
    <row r="72" spans="1:140" ht="15.75" customHeight="1" x14ac:dyDescent="0.3">
      <c r="A72" s="31"/>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row>
    <row r="73" spans="1:140" ht="15.75" customHeight="1" x14ac:dyDescent="0.3">
      <c r="A73" s="31"/>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row>
    <row r="74" spans="1:140" ht="15.75" customHeight="1" x14ac:dyDescent="0.3">
      <c r="A74" s="31"/>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row>
    <row r="75" spans="1:140" ht="15.75" customHeight="1" x14ac:dyDescent="0.3">
      <c r="A75" s="31"/>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row>
    <row r="76" spans="1:140" ht="15.75" customHeight="1" x14ac:dyDescent="0.3">
      <c r="A76" s="31"/>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row>
    <row r="77" spans="1:140" ht="15.75" customHeight="1" x14ac:dyDescent="0.3">
      <c r="A77" s="31"/>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row>
    <row r="78" spans="1:140" ht="15.75" customHeight="1" x14ac:dyDescent="0.3">
      <c r="A78" s="31"/>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row>
    <row r="79" spans="1:140" ht="15.75" customHeight="1" x14ac:dyDescent="0.3">
      <c r="A79" s="31"/>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row>
    <row r="80" spans="1:140" ht="15.75" customHeight="1" x14ac:dyDescent="0.3">
      <c r="A80" s="31"/>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row>
    <row r="81" spans="1:140" ht="15.75" customHeight="1" x14ac:dyDescent="0.3">
      <c r="A81" s="31"/>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c r="EI81" s="33"/>
      <c r="EJ81" s="33"/>
    </row>
    <row r="82" spans="1:140" ht="15.75" customHeight="1" x14ac:dyDescent="0.3">
      <c r="A82" s="31"/>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row>
    <row r="83" spans="1:140" ht="15.75" customHeight="1" x14ac:dyDescent="0.3">
      <c r="A83" s="31"/>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row>
    <row r="84" spans="1:140" ht="15.75" customHeight="1" x14ac:dyDescent="0.3">
      <c r="A84" s="31"/>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row>
    <row r="85" spans="1:140" ht="15.75" customHeight="1" x14ac:dyDescent="0.3">
      <c r="A85" s="31"/>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row>
    <row r="86" spans="1:140" ht="15.75" customHeight="1" x14ac:dyDescent="0.3">
      <c r="A86" s="31"/>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row>
    <row r="87" spans="1:140" ht="15.75" customHeight="1" x14ac:dyDescent="0.3">
      <c r="A87" s="31"/>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row>
    <row r="88" spans="1:140" ht="15.75" customHeight="1" x14ac:dyDescent="0.3">
      <c r="A88" s="31"/>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row>
    <row r="89" spans="1:140" ht="15.75" customHeight="1" x14ac:dyDescent="0.3">
      <c r="A89" s="31"/>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row>
    <row r="90" spans="1:140" ht="15.75" customHeight="1" x14ac:dyDescent="0.3">
      <c r="A90" s="31"/>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row>
    <row r="91" spans="1:140" ht="15.75" customHeight="1" x14ac:dyDescent="0.3">
      <c r="A91" s="31"/>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row>
    <row r="92" spans="1:140" ht="15.75" customHeight="1" x14ac:dyDescent="0.3">
      <c r="A92" s="31"/>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row>
    <row r="93" spans="1:140" ht="15.75" customHeight="1" x14ac:dyDescent="0.3">
      <c r="A93" s="31"/>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row>
    <row r="94" spans="1:140" ht="15.75" customHeight="1" x14ac:dyDescent="0.3">
      <c r="A94" s="31"/>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row>
    <row r="95" spans="1:140" ht="15.75" customHeight="1" x14ac:dyDescent="0.3">
      <c r="A95" s="31"/>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row>
    <row r="96" spans="1:140" ht="15.75" customHeight="1" x14ac:dyDescent="0.3">
      <c r="A96" s="31"/>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row>
    <row r="97" spans="1:140" ht="15.75" customHeight="1" x14ac:dyDescent="0.3">
      <c r="A97" s="31"/>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row>
    <row r="98" spans="1:140" ht="15.75" customHeight="1" x14ac:dyDescent="0.3">
      <c r="A98" s="31"/>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row>
    <row r="99" spans="1:140" ht="15.75" customHeight="1" x14ac:dyDescent="0.3">
      <c r="A99" s="31"/>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row>
    <row r="100" spans="1:140" ht="15.75" customHeight="1" x14ac:dyDescent="0.3">
      <c r="A100" s="31"/>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row>
  </sheetData>
  <mergeCells count="36">
    <mergeCell ref="AX14:AX15"/>
    <mergeCell ref="AX16:AX17"/>
    <mergeCell ref="AO4:AP5"/>
    <mergeCell ref="AO6:AP7"/>
    <mergeCell ref="AV1:AW1"/>
    <mergeCell ref="AQ2:AT2"/>
    <mergeCell ref="AX2:AX3"/>
    <mergeCell ref="AQ3:AT3"/>
    <mergeCell ref="AX4:AX5"/>
    <mergeCell ref="AQ9:AU9"/>
    <mergeCell ref="AQ10:AT10"/>
    <mergeCell ref="AX12:AX13"/>
    <mergeCell ref="AQ13:AU13"/>
    <mergeCell ref="AQ4:AT4"/>
    <mergeCell ref="AQ5:AT5"/>
    <mergeCell ref="AQ6:AT6"/>
    <mergeCell ref="AQ7:AU7"/>
    <mergeCell ref="AX6:AX7"/>
    <mergeCell ref="AX8:AX9"/>
    <mergeCell ref="AX10:AX11"/>
    <mergeCell ref="AO12:AP13"/>
    <mergeCell ref="AO16:AP17"/>
    <mergeCell ref="AQ1:AU1"/>
    <mergeCell ref="AO1:AP1"/>
    <mergeCell ref="AO2:AP3"/>
    <mergeCell ref="AQ8:AT8"/>
    <mergeCell ref="AQ17:AU17"/>
    <mergeCell ref="AO8:AP9"/>
    <mergeCell ref="AO10:AP11"/>
    <mergeCell ref="AQ11:AU11"/>
    <mergeCell ref="AQ12:AT12"/>
    <mergeCell ref="AO14:AP15"/>
    <mergeCell ref="AQ14:AT14"/>
    <mergeCell ref="AQ15:AU15"/>
    <mergeCell ref="AQ16:AT16"/>
    <mergeCell ref="H47:K47"/>
  </mergeCells>
  <pageMargins left="0.7" right="0.7" top="0.75" bottom="0.75" header="0" footer="0"/>
  <pageSetup orientation="portrait"/>
  <headerFooter>
    <oddFooter>&amp;C_x000D_#000000 Usage Interne</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
  <sheetViews>
    <sheetView workbookViewId="0"/>
  </sheetViews>
  <sheetFormatPr baseColWidth="10" defaultColWidth="14.44140625" defaultRowHeight="15" customHeight="1" x14ac:dyDescent="0.3"/>
  <cols>
    <col min="1" max="11" width="11.441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pageMargins left="0.7" right="0.7" top="0.75" bottom="0.75" header="0" footer="0"/>
  <pageSetup orientation="portrait"/>
  <headerFooter>
    <oddFooter>&amp;C_x000D_#000000 Usage Interne</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V100"/>
  <sheetViews>
    <sheetView showGridLines="0" topLeftCell="A11" workbookViewId="0">
      <selection activeCell="X34" sqref="X34:AL35"/>
    </sheetView>
  </sheetViews>
  <sheetFormatPr baseColWidth="10" defaultColWidth="14.44140625" defaultRowHeight="15" customHeight="1" x14ac:dyDescent="0.3"/>
  <cols>
    <col min="1" max="1" width="11.5546875" customWidth="1"/>
    <col min="2" max="2" width="2.44140625" customWidth="1"/>
    <col min="3" max="3" width="3.5546875" customWidth="1"/>
    <col min="4" max="4" width="3.44140625" customWidth="1"/>
    <col min="5" max="5" width="6.88671875" customWidth="1"/>
    <col min="6" max="6" width="4.109375" customWidth="1"/>
    <col min="7" max="7" width="3.44140625" customWidth="1"/>
    <col min="8" max="8" width="4" customWidth="1"/>
    <col min="9" max="10" width="4.109375" customWidth="1"/>
    <col min="11" max="12" width="3.5546875" customWidth="1"/>
    <col min="13" max="13" width="4.109375" customWidth="1"/>
    <col min="14" max="14" width="3.5546875" customWidth="1"/>
    <col min="15" max="15" width="4.44140625" customWidth="1"/>
    <col min="16" max="16" width="3.44140625" customWidth="1"/>
    <col min="17" max="17" width="3.5546875" customWidth="1"/>
    <col min="18" max="18" width="3.44140625" customWidth="1"/>
    <col min="19" max="19" width="3.5546875" customWidth="1"/>
    <col min="20" max="20" width="3.88671875" customWidth="1"/>
    <col min="21" max="21" width="2.5546875" customWidth="1"/>
    <col min="22" max="22" width="4.88671875" customWidth="1"/>
    <col min="23" max="23" width="3.44140625" customWidth="1"/>
    <col min="24" max="24" width="3.88671875" customWidth="1"/>
    <col min="25" max="25" width="4.109375" customWidth="1"/>
    <col min="26" max="26" width="5.109375" customWidth="1"/>
    <col min="27" max="27" width="3.109375" customWidth="1"/>
    <col min="28" max="28" width="3.5546875" customWidth="1"/>
    <col min="29" max="29" width="4.5546875" customWidth="1"/>
    <col min="30" max="30" width="3.109375" customWidth="1"/>
    <col min="31" max="31" width="3.44140625" customWidth="1"/>
    <col min="32" max="32" width="3.88671875" customWidth="1"/>
    <col min="33" max="33" width="3.5546875" customWidth="1"/>
    <col min="34" max="34" width="4.44140625" customWidth="1"/>
    <col min="35" max="35" width="3.5546875" customWidth="1"/>
    <col min="36" max="36" width="3.88671875" customWidth="1"/>
    <col min="37" max="37" width="3.5546875" customWidth="1"/>
    <col min="38" max="38" width="3.88671875" customWidth="1"/>
    <col min="39" max="39" width="3.5546875" customWidth="1"/>
    <col min="40" max="40" width="3.88671875" customWidth="1"/>
    <col min="41" max="41" width="4" customWidth="1"/>
    <col min="42" max="42" width="4.109375" customWidth="1"/>
    <col min="43" max="43" width="3.44140625" customWidth="1"/>
    <col min="44" max="44" width="3.88671875" customWidth="1"/>
    <col min="45" max="45" width="3.44140625" customWidth="1"/>
    <col min="46" max="46" width="4" customWidth="1"/>
    <col min="47" max="47" width="3.88671875" customWidth="1"/>
    <col min="48" max="48" width="4.109375" customWidth="1"/>
  </cols>
  <sheetData>
    <row r="1" spans="2:39" ht="21" customHeight="1" x14ac:dyDescent="0.3"/>
    <row r="3" spans="2:39" ht="24.6" x14ac:dyDescent="0.3">
      <c r="C3" s="462"/>
      <c r="D3" s="399"/>
      <c r="E3" s="399"/>
      <c r="J3" s="478" t="str">
        <f>IF(G30="","DEMANDE DE CRÉDIT AGRICOLE",IF(G30&lt;&gt;"AGRICULTURE","DEMANDE DE CRÉDIT","DEMANDE DE CRÉDIT AGRICOLE"))</f>
        <v>DEMANDE DE CRÉDIT AGRICOLE</v>
      </c>
      <c r="K3" s="479"/>
      <c r="L3" s="479"/>
      <c r="M3" s="479"/>
      <c r="N3" s="479"/>
      <c r="O3" s="479"/>
      <c r="P3" s="479"/>
      <c r="Q3" s="479"/>
      <c r="R3" s="479"/>
      <c r="S3" s="479"/>
      <c r="T3" s="479"/>
      <c r="U3" s="479"/>
      <c r="V3" s="479"/>
      <c r="W3" s="479"/>
      <c r="X3" s="479"/>
      <c r="Y3" s="479"/>
      <c r="Z3" s="479"/>
      <c r="AA3" s="479"/>
      <c r="AB3" s="479"/>
      <c r="AC3" s="479"/>
      <c r="AD3" s="479"/>
      <c r="AE3" s="480"/>
    </row>
    <row r="4" spans="2:39" ht="24.6" x14ac:dyDescent="0.3">
      <c r="C4" s="57"/>
      <c r="D4" s="57"/>
      <c r="E4" s="57"/>
      <c r="J4" s="58"/>
      <c r="K4" s="58"/>
      <c r="L4" s="58"/>
      <c r="M4" s="58"/>
      <c r="N4" s="58"/>
      <c r="O4" s="58"/>
      <c r="P4" s="58"/>
      <c r="Q4" s="58"/>
      <c r="R4" s="58"/>
      <c r="S4" s="58"/>
      <c r="T4" s="58"/>
      <c r="U4" s="58"/>
      <c r="V4" s="58"/>
      <c r="W4" s="58"/>
      <c r="X4" s="58"/>
      <c r="Y4" s="58"/>
      <c r="Z4" s="58"/>
      <c r="AA4" s="58"/>
      <c r="AB4" s="58"/>
      <c r="AC4" s="58"/>
      <c r="AD4" s="58"/>
      <c r="AE4" s="58"/>
    </row>
    <row r="5" spans="2:39" ht="24.6" x14ac:dyDescent="0.4">
      <c r="C5" s="59"/>
      <c r="D5" s="57"/>
      <c r="E5" s="57"/>
      <c r="J5" s="58"/>
      <c r="K5" s="58"/>
      <c r="L5" s="58"/>
      <c r="M5" s="58"/>
      <c r="N5" s="58"/>
      <c r="O5" s="58"/>
      <c r="P5" s="58"/>
      <c r="Q5" s="58"/>
      <c r="R5" s="58"/>
      <c r="S5" s="58"/>
      <c r="T5" s="58"/>
      <c r="U5" s="58"/>
      <c r="V5" s="58"/>
      <c r="W5" s="58"/>
      <c r="X5" s="58"/>
      <c r="Z5" s="414" t="s">
        <v>429</v>
      </c>
      <c r="AA5" s="399"/>
      <c r="AB5" s="399"/>
      <c r="AC5" s="440"/>
      <c r="AD5" s="437" t="s">
        <v>430</v>
      </c>
      <c r="AE5" s="438"/>
      <c r="AF5" s="438"/>
      <c r="AG5" s="438"/>
      <c r="AH5" s="438"/>
      <c r="AI5" s="438"/>
      <c r="AJ5" s="438"/>
      <c r="AK5" s="438"/>
      <c r="AL5" s="439"/>
    </row>
    <row r="7" spans="2:39" ht="17.399999999999999" x14ac:dyDescent="0.35">
      <c r="C7" s="432" t="s">
        <v>431</v>
      </c>
      <c r="D7" s="399"/>
      <c r="E7" s="399"/>
      <c r="F7" s="399"/>
      <c r="G7" s="399"/>
      <c r="H7" s="399"/>
      <c r="I7" s="62">
        <v>23</v>
      </c>
      <c r="J7" s="63" t="s">
        <v>432</v>
      </c>
      <c r="K7" s="62">
        <v>12</v>
      </c>
      <c r="L7" s="63" t="s">
        <v>432</v>
      </c>
      <c r="M7" s="457">
        <v>2025</v>
      </c>
      <c r="N7" s="458"/>
      <c r="Y7" s="431" t="s">
        <v>433</v>
      </c>
      <c r="Z7" s="399"/>
      <c r="AA7" s="399"/>
      <c r="AB7" s="399"/>
      <c r="AC7" s="399"/>
      <c r="AD7" s="441" t="s">
        <v>434</v>
      </c>
      <c r="AE7" s="438"/>
      <c r="AF7" s="438"/>
      <c r="AG7" s="438"/>
      <c r="AH7" s="438"/>
      <c r="AI7" s="438"/>
      <c r="AJ7" s="438"/>
      <c r="AK7" s="438"/>
      <c r="AL7" s="439"/>
    </row>
    <row r="8" spans="2:39" ht="14.4" x14ac:dyDescent="0.3">
      <c r="C8" s="57"/>
      <c r="D8" s="57"/>
      <c r="E8" s="57"/>
      <c r="F8" s="57"/>
      <c r="G8" s="57"/>
      <c r="H8" s="57"/>
      <c r="Y8" s="57"/>
      <c r="Z8" s="57"/>
      <c r="AA8" s="57"/>
      <c r="AB8" s="57"/>
      <c r="AC8" s="57"/>
      <c r="AD8" s="63"/>
      <c r="AE8" s="63"/>
      <c r="AF8" s="63"/>
      <c r="AG8" s="63"/>
      <c r="AH8" s="63"/>
      <c r="AI8" s="63"/>
      <c r="AJ8" s="63"/>
      <c r="AK8" s="63"/>
      <c r="AL8" s="63"/>
    </row>
    <row r="9" spans="2:39" ht="17.399999999999999" x14ac:dyDescent="0.35">
      <c r="C9" s="432" t="s">
        <v>435</v>
      </c>
      <c r="D9" s="399"/>
      <c r="E9" s="399"/>
      <c r="F9" s="399"/>
      <c r="G9" s="399"/>
      <c r="H9" s="399"/>
      <c r="I9" s="453" t="s">
        <v>436</v>
      </c>
      <c r="J9" s="382"/>
      <c r="K9" s="382"/>
      <c r="L9" s="382"/>
      <c r="M9" s="383"/>
      <c r="O9" s="456" t="str">
        <f>IF(I9="","Type de Gpe/Grmt",IF(I9="Groupe","Type de Groupe",IF(I9="Groupement","Type de Grpment","")))</f>
        <v/>
      </c>
      <c r="P9" s="399"/>
      <c r="Q9" s="399"/>
      <c r="R9" s="399"/>
      <c r="S9" s="399"/>
      <c r="T9" s="436"/>
      <c r="U9" s="382"/>
      <c r="V9" s="382"/>
      <c r="W9" s="382"/>
      <c r="X9" s="383"/>
      <c r="Y9" s="474" t="str">
        <f>IF(I9="","Nombre de personnes",IF(OR(I9="Groupe",I9="Groupement"),"Nombre de personnes",""))</f>
        <v/>
      </c>
      <c r="Z9" s="399"/>
      <c r="AA9" s="399"/>
      <c r="AB9" s="399"/>
      <c r="AC9" s="399"/>
      <c r="AD9" s="399"/>
      <c r="AE9" s="436"/>
      <c r="AF9" s="383"/>
      <c r="AH9" s="64" t="str">
        <f>IF(I9="","F",IF(OR(I9="Groupe",I9="Groupement"),"F",""))</f>
        <v/>
      </c>
      <c r="AI9" s="436"/>
      <c r="AJ9" s="383"/>
      <c r="AK9" s="64" t="str">
        <f>IF(I9="","H",IF(OR(I9="Groupe",I9="Groupement"),"H",""))</f>
        <v/>
      </c>
      <c r="AL9" s="436"/>
      <c r="AM9" s="383"/>
    </row>
    <row r="10" spans="2:39" ht="6" customHeight="1" x14ac:dyDescent="0.35">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row>
    <row r="11" spans="2:39" ht="17.399999999999999" x14ac:dyDescent="0.35">
      <c r="C11" s="61"/>
      <c r="D11" s="61"/>
      <c r="E11" s="61"/>
      <c r="F11" s="61"/>
      <c r="G11" s="61"/>
      <c r="H11" s="61"/>
      <c r="I11" s="61"/>
      <c r="J11" s="61"/>
      <c r="K11" s="61"/>
      <c r="L11" s="61"/>
      <c r="M11" s="61"/>
      <c r="O11" s="456" t="str">
        <f>IF(I9="","Nom du Gpe/Grmt",IF(I9="Groupe","Nom du Groupe",IF(I9="Groupement","Nom du Grpment","")))</f>
        <v/>
      </c>
      <c r="P11" s="399"/>
      <c r="Q11" s="399"/>
      <c r="R11" s="399"/>
      <c r="S11" s="399"/>
      <c r="T11" s="436"/>
      <c r="U11" s="382"/>
      <c r="V11" s="382"/>
      <c r="W11" s="382"/>
      <c r="X11" s="382"/>
      <c r="Y11" s="382"/>
      <c r="Z11" s="382"/>
      <c r="AA11" s="382"/>
      <c r="AB11" s="382"/>
      <c r="AC11" s="382"/>
      <c r="AD11" s="383"/>
      <c r="AF11" s="474" t="str">
        <f>IF(I9="","Numéro :",IF(OR(I9="Groupe",I9="Groupement"),"Numéro :",""))</f>
        <v/>
      </c>
      <c r="AG11" s="399"/>
      <c r="AH11" s="399"/>
      <c r="AI11" s="436"/>
      <c r="AJ11" s="382"/>
      <c r="AK11" s="382"/>
      <c r="AL11" s="382"/>
      <c r="AM11" s="383"/>
    </row>
    <row r="12" spans="2:39" ht="7.5" customHeight="1" x14ac:dyDescent="0.3"/>
    <row r="13" spans="2:39" ht="18" x14ac:dyDescent="0.35">
      <c r="B13" s="66" t="s">
        <v>437</v>
      </c>
      <c r="C13" s="67" t="s">
        <v>438</v>
      </c>
      <c r="D13" s="67"/>
      <c r="E13" s="67"/>
      <c r="F13" s="67"/>
      <c r="G13" s="67"/>
      <c r="H13" s="67"/>
      <c r="I13" s="67"/>
      <c r="J13" s="67"/>
      <c r="K13" s="67"/>
      <c r="L13" s="67"/>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9"/>
    </row>
    <row r="14" spans="2:39" ht="9" customHeight="1" x14ac:dyDescent="0.3">
      <c r="B14" s="70"/>
      <c r="AM14" s="71"/>
    </row>
    <row r="15" spans="2:39" ht="17.399999999999999" x14ac:dyDescent="0.35">
      <c r="B15" s="70"/>
      <c r="C15" s="432" t="s">
        <v>439</v>
      </c>
      <c r="D15" s="399"/>
      <c r="E15" s="399"/>
      <c r="F15" s="399"/>
      <c r="G15" s="440"/>
      <c r="H15" s="475" t="s">
        <v>440</v>
      </c>
      <c r="I15" s="438"/>
      <c r="J15" s="438"/>
      <c r="K15" s="438"/>
      <c r="L15" s="438"/>
      <c r="M15" s="438"/>
      <c r="N15" s="438"/>
      <c r="O15" s="438"/>
      <c r="P15" s="438"/>
      <c r="Q15" s="438"/>
      <c r="R15" s="438"/>
      <c r="S15" s="438"/>
      <c r="T15" s="438"/>
      <c r="U15" s="438"/>
      <c r="V15" s="438"/>
      <c r="W15" s="438"/>
      <c r="X15" s="438"/>
      <c r="Y15" s="438"/>
      <c r="Z15" s="439"/>
      <c r="AB15" s="424" t="s">
        <v>441</v>
      </c>
      <c r="AC15" s="399"/>
      <c r="AD15" s="399"/>
      <c r="AE15" s="399"/>
      <c r="AF15" s="399"/>
      <c r="AG15" s="440"/>
      <c r="AH15" s="475">
        <v>10300181501</v>
      </c>
      <c r="AI15" s="438"/>
      <c r="AJ15" s="438"/>
      <c r="AK15" s="438"/>
      <c r="AL15" s="439"/>
      <c r="AM15" s="71"/>
    </row>
    <row r="16" spans="2:39" ht="17.399999999999999" x14ac:dyDescent="0.35">
      <c r="B16" s="70"/>
      <c r="C16" s="73"/>
      <c r="D16" s="73"/>
      <c r="E16" s="73"/>
      <c r="F16" s="73"/>
      <c r="G16" s="73"/>
      <c r="H16" s="482" t="s">
        <v>442</v>
      </c>
      <c r="I16" s="483"/>
      <c r="J16" s="483"/>
      <c r="K16" s="483"/>
      <c r="L16" s="483"/>
      <c r="M16" s="483"/>
      <c r="N16" s="483"/>
      <c r="O16" s="483"/>
      <c r="P16" s="483"/>
      <c r="Q16" s="483"/>
      <c r="R16" s="483"/>
      <c r="S16" s="483"/>
      <c r="T16" s="483"/>
      <c r="U16" s="483"/>
      <c r="V16" s="483"/>
      <c r="W16" s="483"/>
      <c r="X16" s="483"/>
      <c r="Y16" s="483"/>
      <c r="Z16" s="483"/>
      <c r="AB16" s="74"/>
      <c r="AC16" s="74"/>
      <c r="AD16" s="74"/>
      <c r="AE16" s="74"/>
      <c r="AG16" s="74"/>
      <c r="AH16" s="74"/>
      <c r="AI16" s="74"/>
      <c r="AJ16" s="74"/>
      <c r="AK16" s="74"/>
      <c r="AL16" s="74"/>
      <c r="AM16" s="71"/>
    </row>
    <row r="17" spans="2:48" ht="20.25" customHeight="1" x14ac:dyDescent="0.35">
      <c r="B17" s="70"/>
      <c r="C17" s="461" t="s">
        <v>443</v>
      </c>
      <c r="D17" s="399"/>
      <c r="E17" s="399"/>
      <c r="F17" s="399"/>
      <c r="G17" s="399"/>
      <c r="H17" s="399"/>
      <c r="I17" s="399"/>
      <c r="J17" s="484" t="s">
        <v>444</v>
      </c>
      <c r="K17" s="382"/>
      <c r="L17" s="382"/>
      <c r="M17" s="382"/>
      <c r="N17" s="382"/>
      <c r="O17" s="382"/>
      <c r="P17" s="382"/>
      <c r="Q17" s="382"/>
      <c r="R17" s="382"/>
      <c r="S17" s="383"/>
      <c r="T17" s="485" t="s">
        <v>445</v>
      </c>
      <c r="U17" s="399"/>
      <c r="V17" s="399"/>
      <c r="W17" s="399"/>
      <c r="X17" s="399"/>
      <c r="Y17" s="476">
        <v>2201012503070250</v>
      </c>
      <c r="Z17" s="382"/>
      <c r="AA17" s="382"/>
      <c r="AB17" s="382"/>
      <c r="AC17" s="382"/>
      <c r="AD17" s="382"/>
      <c r="AE17" s="382"/>
      <c r="AF17" s="382"/>
      <c r="AG17" s="382"/>
      <c r="AH17" s="382"/>
      <c r="AI17" s="382"/>
      <c r="AJ17" s="382"/>
      <c r="AK17" s="382"/>
      <c r="AL17" s="383"/>
      <c r="AM17" s="71"/>
    </row>
    <row r="18" spans="2:48" ht="8.25" customHeight="1" x14ac:dyDescent="0.35">
      <c r="B18" s="70"/>
      <c r="C18" s="75"/>
      <c r="D18" s="75"/>
      <c r="E18" s="75"/>
      <c r="F18" s="75"/>
      <c r="G18" s="75"/>
      <c r="H18" s="75"/>
      <c r="I18" s="75"/>
      <c r="J18" s="76"/>
      <c r="K18" s="76"/>
      <c r="L18" s="76"/>
      <c r="M18" s="76"/>
      <c r="N18" s="76"/>
      <c r="O18" s="76"/>
      <c r="P18" s="76"/>
      <c r="Q18" s="76"/>
      <c r="R18" s="76"/>
      <c r="S18" s="76"/>
      <c r="T18" s="77"/>
      <c r="U18" s="77"/>
      <c r="V18" s="77"/>
      <c r="W18" s="77"/>
      <c r="X18" s="77"/>
      <c r="Y18" s="78"/>
      <c r="Z18" s="63"/>
      <c r="AC18" s="57"/>
      <c r="AD18" s="57"/>
      <c r="AE18" s="57"/>
      <c r="AF18" s="57"/>
      <c r="AG18" s="57"/>
      <c r="AH18" s="63"/>
      <c r="AI18" s="63"/>
      <c r="AJ18" s="63"/>
      <c r="AK18" s="63"/>
      <c r="AL18" s="63"/>
      <c r="AM18" s="71"/>
    </row>
    <row r="19" spans="2:48" ht="21" customHeight="1" x14ac:dyDescent="0.35">
      <c r="B19" s="70"/>
      <c r="C19" s="432" t="s">
        <v>446</v>
      </c>
      <c r="D19" s="399"/>
      <c r="E19" s="399"/>
      <c r="F19" s="399"/>
      <c r="G19" s="399"/>
      <c r="H19" s="399"/>
      <c r="I19" s="399"/>
      <c r="J19" s="62">
        <v>1</v>
      </c>
      <c r="K19" s="72" t="s">
        <v>432</v>
      </c>
      <c r="L19" s="62">
        <v>1</v>
      </c>
      <c r="M19" s="72" t="s">
        <v>432</v>
      </c>
      <c r="N19" s="457">
        <v>1990</v>
      </c>
      <c r="O19" s="458"/>
      <c r="P19" s="72" t="s">
        <v>447</v>
      </c>
      <c r="Q19" s="435" t="s">
        <v>448</v>
      </c>
      <c r="R19" s="382"/>
      <c r="S19" s="382"/>
      <c r="T19" s="382"/>
      <c r="U19" s="382"/>
      <c r="V19" s="382"/>
      <c r="W19" s="383"/>
      <c r="X19" s="72"/>
      <c r="Y19" s="432" t="s">
        <v>449</v>
      </c>
      <c r="Z19" s="399"/>
      <c r="AA19" s="433" t="s">
        <v>450</v>
      </c>
      <c r="AB19" s="382"/>
      <c r="AC19" s="382"/>
      <c r="AD19" s="382"/>
      <c r="AE19" s="382"/>
      <c r="AF19" s="383"/>
      <c r="AG19" s="78"/>
      <c r="AH19" s="78"/>
      <c r="AI19" s="78"/>
      <c r="AJ19" s="79"/>
      <c r="AK19" s="79"/>
      <c r="AL19" s="80"/>
      <c r="AM19" s="81"/>
      <c r="AN19" s="57"/>
      <c r="AO19" s="57"/>
      <c r="AP19" s="57"/>
      <c r="AQ19" s="57"/>
      <c r="AR19" s="63"/>
      <c r="AS19" s="63"/>
      <c r="AT19" s="481"/>
      <c r="AU19" s="399"/>
      <c r="AV19" s="63"/>
    </row>
    <row r="20" spans="2:48" ht="9" customHeight="1" x14ac:dyDescent="0.3">
      <c r="B20" s="70"/>
      <c r="AC20" s="462"/>
      <c r="AD20" s="399"/>
      <c r="AE20" s="399"/>
      <c r="AG20" s="80"/>
      <c r="AH20" s="80"/>
      <c r="AM20" s="71"/>
    </row>
    <row r="21" spans="2:48" ht="18.75" customHeight="1" x14ac:dyDescent="0.35">
      <c r="B21" s="70"/>
      <c r="C21" s="432" t="s">
        <v>451</v>
      </c>
      <c r="D21" s="399"/>
      <c r="E21" s="399"/>
      <c r="F21" s="399"/>
      <c r="G21" s="399"/>
      <c r="H21" s="399"/>
      <c r="I21" s="433" t="s">
        <v>452</v>
      </c>
      <c r="J21" s="382"/>
      <c r="K21" s="382"/>
      <c r="L21" s="382"/>
      <c r="M21" s="383"/>
      <c r="O21" s="431" t="s">
        <v>453</v>
      </c>
      <c r="P21" s="399"/>
      <c r="Q21" s="399"/>
      <c r="R21" s="399"/>
      <c r="S21" s="399"/>
      <c r="T21" s="399"/>
      <c r="U21" s="399"/>
      <c r="V21" s="399"/>
      <c r="W21" s="399"/>
      <c r="X21" s="399"/>
      <c r="Y21" s="82">
        <v>7</v>
      </c>
      <c r="AA21" s="83" t="s">
        <v>454</v>
      </c>
      <c r="AB21" s="83"/>
      <c r="AC21" s="83"/>
      <c r="AD21" s="83"/>
      <c r="AE21" s="83"/>
      <c r="AF21" s="83"/>
      <c r="AG21" s="83"/>
      <c r="AH21" s="83"/>
      <c r="AI21" s="83"/>
      <c r="AJ21" s="433">
        <v>3</v>
      </c>
      <c r="AK21" s="383"/>
      <c r="AM21" s="71"/>
    </row>
    <row r="22" spans="2:48" ht="14.4" x14ac:dyDescent="0.3">
      <c r="B22" s="70"/>
      <c r="AC22" s="57"/>
      <c r="AD22" s="57"/>
      <c r="AE22" s="57"/>
      <c r="AG22" s="80"/>
      <c r="AH22" s="80"/>
      <c r="AM22" s="71"/>
    </row>
    <row r="23" spans="2:48" ht="21.75" customHeight="1" x14ac:dyDescent="0.3">
      <c r="B23" s="70"/>
      <c r="C23" s="443" t="s">
        <v>455</v>
      </c>
      <c r="D23" s="399"/>
      <c r="E23" s="399"/>
      <c r="F23" s="399"/>
      <c r="G23" s="399"/>
      <c r="H23" s="399"/>
      <c r="I23" s="399"/>
      <c r="J23" s="399"/>
      <c r="K23" s="433" t="s">
        <v>456</v>
      </c>
      <c r="L23" s="382"/>
      <c r="M23" s="382"/>
      <c r="N23" s="382"/>
      <c r="O23" s="382"/>
      <c r="P23" s="382"/>
      <c r="Q23" s="382"/>
      <c r="R23" s="382"/>
      <c r="S23" s="382"/>
      <c r="T23" s="382"/>
      <c r="U23" s="382"/>
      <c r="V23" s="382"/>
      <c r="W23" s="382"/>
      <c r="X23" s="382"/>
      <c r="Y23" s="382"/>
      <c r="Z23" s="382"/>
      <c r="AA23" s="382"/>
      <c r="AB23" s="382"/>
      <c r="AC23" s="382"/>
      <c r="AD23" s="382"/>
      <c r="AE23" s="382"/>
      <c r="AF23" s="382"/>
      <c r="AG23" s="382"/>
      <c r="AH23" s="382"/>
      <c r="AI23" s="382"/>
      <c r="AJ23" s="382"/>
      <c r="AK23" s="382"/>
      <c r="AL23" s="383"/>
      <c r="AM23" s="71"/>
    </row>
    <row r="24" spans="2:48" ht="14.25" customHeight="1" x14ac:dyDescent="0.3">
      <c r="B24" s="70"/>
      <c r="C24" s="85"/>
      <c r="D24" s="85"/>
      <c r="E24" s="85"/>
      <c r="F24" s="85"/>
      <c r="G24" s="85"/>
      <c r="H24" s="86"/>
      <c r="I24" s="86"/>
      <c r="J24" s="86"/>
      <c r="K24" s="86"/>
      <c r="L24" s="86"/>
      <c r="M24" s="86"/>
      <c r="N24" s="86"/>
      <c r="O24" s="477" t="s">
        <v>457</v>
      </c>
      <c r="P24" s="399"/>
      <c r="Q24" s="399"/>
      <c r="R24" s="399"/>
      <c r="S24" s="399"/>
      <c r="T24" s="399"/>
      <c r="U24" s="399"/>
      <c r="V24" s="399"/>
      <c r="W24" s="399"/>
      <c r="X24" s="399"/>
      <c r="Y24" s="399"/>
      <c r="Z24" s="399"/>
      <c r="AC24" s="87"/>
      <c r="AD24" s="87"/>
      <c r="AE24" s="87"/>
      <c r="AF24" s="87"/>
      <c r="AG24" s="87"/>
      <c r="AH24" s="88"/>
      <c r="AI24" s="88"/>
      <c r="AJ24" s="88"/>
      <c r="AK24" s="88"/>
      <c r="AL24" s="88"/>
      <c r="AM24" s="71"/>
    </row>
    <row r="25" spans="2:48" ht="17.25" customHeight="1" x14ac:dyDescent="0.3">
      <c r="B25" s="70"/>
      <c r="C25" s="442" t="s">
        <v>458</v>
      </c>
      <c r="D25" s="399"/>
      <c r="E25" s="399"/>
      <c r="F25" s="399"/>
      <c r="G25" s="399"/>
      <c r="H25" s="399"/>
      <c r="I25" s="399"/>
      <c r="J25" s="399"/>
      <c r="K25" s="448">
        <v>10</v>
      </c>
      <c r="L25" s="382"/>
      <c r="M25" s="383"/>
      <c r="N25" s="84"/>
      <c r="O25" s="84"/>
      <c r="P25" s="449" t="s">
        <v>459</v>
      </c>
      <c r="Q25" s="399"/>
      <c r="R25" s="399"/>
      <c r="S25" s="399"/>
      <c r="T25" s="399"/>
      <c r="U25" s="399"/>
      <c r="V25" s="433" t="s">
        <v>460</v>
      </c>
      <c r="W25" s="382"/>
      <c r="X25" s="382"/>
      <c r="Y25" s="382"/>
      <c r="Z25" s="383"/>
      <c r="AB25" s="90"/>
      <c r="AC25" s="90"/>
      <c r="AD25" s="90"/>
      <c r="AE25" s="90"/>
      <c r="AF25" s="90"/>
      <c r="AG25" s="90"/>
      <c r="AH25" s="90"/>
      <c r="AI25" s="90"/>
      <c r="AJ25" s="90"/>
      <c r="AK25" s="90"/>
      <c r="AL25" s="90"/>
      <c r="AM25" s="71"/>
    </row>
    <row r="26" spans="2:48" ht="15.75" customHeight="1" x14ac:dyDescent="0.3">
      <c r="B26" s="91"/>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3"/>
    </row>
    <row r="27" spans="2:48" ht="15.75" customHeight="1" x14ac:dyDescent="0.3"/>
    <row r="28" spans="2:48" ht="15.75" customHeight="1" x14ac:dyDescent="0.35">
      <c r="B28" s="66" t="s">
        <v>461</v>
      </c>
      <c r="C28" s="445" t="s">
        <v>462</v>
      </c>
      <c r="D28" s="446"/>
      <c r="E28" s="446"/>
      <c r="F28" s="446"/>
      <c r="G28" s="446"/>
      <c r="H28" s="446"/>
      <c r="I28" s="446"/>
      <c r="J28" s="446"/>
      <c r="K28" s="446"/>
      <c r="L28" s="447"/>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9"/>
    </row>
    <row r="29" spans="2:48" ht="7.5" customHeight="1" x14ac:dyDescent="0.3">
      <c r="B29" s="70"/>
      <c r="AM29" s="71"/>
    </row>
    <row r="30" spans="2:48" ht="18" customHeight="1" x14ac:dyDescent="0.35">
      <c r="B30" s="70"/>
      <c r="C30" s="432" t="s">
        <v>463</v>
      </c>
      <c r="D30" s="399"/>
      <c r="E30" s="399"/>
      <c r="F30" s="399"/>
      <c r="G30" s="444" t="s">
        <v>20</v>
      </c>
      <c r="H30" s="382"/>
      <c r="I30" s="382"/>
      <c r="J30" s="382"/>
      <c r="K30" s="382"/>
      <c r="L30" s="383"/>
      <c r="M30" s="431" t="s">
        <v>464</v>
      </c>
      <c r="N30" s="399"/>
      <c r="O30" s="399"/>
      <c r="P30" s="399"/>
      <c r="Q30" s="399"/>
      <c r="R30" s="433" t="s">
        <v>27</v>
      </c>
      <c r="S30" s="382"/>
      <c r="T30" s="382"/>
      <c r="U30" s="382"/>
      <c r="V30" s="382"/>
      <c r="W30" s="382"/>
      <c r="X30" s="383"/>
      <c r="Z30" s="434" t="str">
        <f>IF(G30="","Sous-sous-activité (filière) :",IF(G30="AGRICULTURE","Sous-sous-activité (filière) :","Sous-sous-activité :"))</f>
        <v>Sous-sous-activité (filière) :</v>
      </c>
      <c r="AA30" s="399"/>
      <c r="AB30" s="399"/>
      <c r="AC30" s="399"/>
      <c r="AD30" s="399"/>
      <c r="AE30" s="399"/>
      <c r="AF30" s="399"/>
      <c r="AG30" s="433" t="s">
        <v>101</v>
      </c>
      <c r="AH30" s="382"/>
      <c r="AI30" s="382"/>
      <c r="AJ30" s="382"/>
      <c r="AK30" s="382"/>
      <c r="AL30" s="383"/>
      <c r="AM30" s="71"/>
    </row>
    <row r="31" spans="2:48" ht="9" customHeight="1" x14ac:dyDescent="0.3">
      <c r="B31" s="70"/>
      <c r="AM31" s="71"/>
    </row>
    <row r="32" spans="2:48" ht="15.75" customHeight="1" x14ac:dyDescent="0.35">
      <c r="B32" s="70"/>
      <c r="C32" s="432" t="s">
        <v>465</v>
      </c>
      <c r="D32" s="399"/>
      <c r="E32" s="399"/>
      <c r="F32" s="399"/>
      <c r="G32" s="399"/>
      <c r="H32" s="399"/>
      <c r="I32" s="399"/>
      <c r="J32" s="472" t="s">
        <v>466</v>
      </c>
      <c r="K32" s="382"/>
      <c r="L32" s="382"/>
      <c r="M32" s="382"/>
      <c r="N32" s="382"/>
      <c r="O32" s="382"/>
      <c r="P32" s="382"/>
      <c r="Q32" s="382"/>
      <c r="R32" s="382"/>
      <c r="S32" s="382"/>
      <c r="T32" s="382"/>
      <c r="U32" s="382"/>
      <c r="V32" s="382"/>
      <c r="W32" s="382"/>
      <c r="X32" s="382"/>
      <c r="Y32" s="382"/>
      <c r="Z32" s="382"/>
      <c r="AA32" s="382"/>
      <c r="AB32" s="382"/>
      <c r="AC32" s="382"/>
      <c r="AD32" s="382"/>
      <c r="AE32" s="382"/>
      <c r="AF32" s="382"/>
      <c r="AG32" s="382"/>
      <c r="AH32" s="382"/>
      <c r="AI32" s="382"/>
      <c r="AJ32" s="382"/>
      <c r="AK32" s="382"/>
      <c r="AL32" s="383"/>
      <c r="AM32" s="71"/>
    </row>
    <row r="33" spans="2:39" ht="15.75" customHeight="1" x14ac:dyDescent="0.3">
      <c r="B33" s="70"/>
      <c r="AM33" s="71"/>
    </row>
    <row r="34" spans="2:39" ht="15.75" customHeight="1" x14ac:dyDescent="0.35">
      <c r="B34" s="70"/>
      <c r="C34" s="61" t="s">
        <v>467</v>
      </c>
      <c r="D34" s="83"/>
      <c r="E34" s="83"/>
      <c r="F34" s="83"/>
      <c r="G34" s="83"/>
      <c r="H34" s="83"/>
      <c r="I34" s="83"/>
      <c r="L34" s="459">
        <v>5</v>
      </c>
      <c r="M34" s="383"/>
      <c r="P34" s="432" t="s">
        <v>468</v>
      </c>
      <c r="Q34" s="399"/>
      <c r="R34" s="399"/>
      <c r="S34" s="399"/>
      <c r="T34" s="399"/>
      <c r="U34" s="399"/>
      <c r="V34" s="399"/>
      <c r="W34" s="399"/>
      <c r="X34" s="473" t="s">
        <v>469</v>
      </c>
      <c r="Y34" s="418"/>
      <c r="Z34" s="418"/>
      <c r="AA34" s="418"/>
      <c r="AB34" s="418"/>
      <c r="AC34" s="418"/>
      <c r="AD34" s="418"/>
      <c r="AE34" s="418"/>
      <c r="AF34" s="418"/>
      <c r="AG34" s="418"/>
      <c r="AH34" s="418"/>
      <c r="AI34" s="418"/>
      <c r="AJ34" s="418"/>
      <c r="AK34" s="418"/>
      <c r="AL34" s="392"/>
      <c r="AM34" s="71"/>
    </row>
    <row r="35" spans="2:39" ht="15.75" customHeight="1" x14ac:dyDescent="0.3">
      <c r="B35" s="70"/>
      <c r="C35" s="460" t="s">
        <v>470</v>
      </c>
      <c r="D35" s="399"/>
      <c r="E35" s="399"/>
      <c r="F35" s="399"/>
      <c r="G35" s="399"/>
      <c r="H35" s="399"/>
      <c r="I35" s="399"/>
      <c r="J35" s="399"/>
      <c r="K35" s="399"/>
      <c r="L35" s="399"/>
      <c r="M35" s="399"/>
      <c r="X35" s="393"/>
      <c r="Y35" s="421"/>
      <c r="Z35" s="421"/>
      <c r="AA35" s="421"/>
      <c r="AB35" s="421"/>
      <c r="AC35" s="421"/>
      <c r="AD35" s="421"/>
      <c r="AE35" s="421"/>
      <c r="AF35" s="421"/>
      <c r="AG35" s="421"/>
      <c r="AH35" s="421"/>
      <c r="AI35" s="421"/>
      <c r="AJ35" s="421"/>
      <c r="AK35" s="421"/>
      <c r="AL35" s="394"/>
      <c r="AM35" s="71"/>
    </row>
    <row r="36" spans="2:39" ht="12" customHeight="1" x14ac:dyDescent="0.35">
      <c r="B36" s="70"/>
      <c r="C36" s="94"/>
      <c r="D36" s="94"/>
      <c r="E36" s="94"/>
      <c r="F36" s="94"/>
      <c r="G36" s="94"/>
      <c r="H36" s="94"/>
      <c r="I36" s="94"/>
      <c r="J36" s="94"/>
      <c r="K36" s="94"/>
      <c r="X36" s="83"/>
      <c r="Y36" s="83"/>
      <c r="Z36" s="83"/>
      <c r="AM36" s="71"/>
    </row>
    <row r="37" spans="2:39" ht="15.75" customHeight="1" x14ac:dyDescent="0.35">
      <c r="B37" s="70"/>
      <c r="C37" s="432" t="str">
        <f>IF(G30="","Superficie disponible :",IF(R30="Production_végétale","Superficie disponible :",IF(R30="Production_animale","Nombre de têtes :","")))</f>
        <v>Superficie disponible :</v>
      </c>
      <c r="D37" s="399"/>
      <c r="E37" s="399"/>
      <c r="F37" s="399"/>
      <c r="G37" s="399"/>
      <c r="H37" s="399"/>
      <c r="I37" s="436">
        <v>2</v>
      </c>
      <c r="J37" s="383"/>
      <c r="K37" s="432" t="str">
        <f>IF(G30="","Hectares",IF(R30="Production_végétale","Hectares",""))</f>
        <v>Hectares</v>
      </c>
      <c r="L37" s="399"/>
      <c r="M37" s="399"/>
      <c r="P37" s="452" t="s">
        <v>471</v>
      </c>
      <c r="Q37" s="399"/>
      <c r="R37" s="399"/>
      <c r="S37" s="399"/>
      <c r="T37" s="399"/>
      <c r="U37" s="399"/>
      <c r="V37" s="399"/>
      <c r="W37" s="425" t="s">
        <v>306</v>
      </c>
      <c r="X37" s="382"/>
      <c r="Y37" s="382"/>
      <c r="Z37" s="382"/>
      <c r="AA37" s="382"/>
      <c r="AB37" s="383"/>
      <c r="AC37" s="426" t="s">
        <v>472</v>
      </c>
      <c r="AD37" s="399"/>
      <c r="AE37" s="399"/>
      <c r="AF37" s="399"/>
      <c r="AG37" s="427" t="s">
        <v>340</v>
      </c>
      <c r="AH37" s="382"/>
      <c r="AI37" s="382"/>
      <c r="AJ37" s="382"/>
      <c r="AK37" s="382"/>
      <c r="AL37" s="383"/>
      <c r="AM37" s="71"/>
    </row>
    <row r="38" spans="2:39" ht="9" customHeight="1" x14ac:dyDescent="0.35">
      <c r="B38" s="70"/>
      <c r="C38" s="61"/>
      <c r="D38" s="61"/>
      <c r="E38" s="61"/>
      <c r="F38" s="61"/>
      <c r="G38" s="61"/>
      <c r="H38" s="61"/>
      <c r="I38" s="61"/>
      <c r="J38" s="61"/>
      <c r="K38" s="61"/>
      <c r="L38" s="61"/>
      <c r="M38" s="61"/>
      <c r="AM38" s="71"/>
    </row>
    <row r="39" spans="2:39" ht="15.75" customHeight="1" x14ac:dyDescent="0.35">
      <c r="B39" s="70"/>
      <c r="C39" s="432" t="str">
        <f>IF(G30="","Superficie emblavée :",IF(R30="Production_végétale","Superficie emblavée :",""))</f>
        <v>Superficie emblavée :</v>
      </c>
      <c r="D39" s="399"/>
      <c r="E39" s="399"/>
      <c r="F39" s="399"/>
      <c r="G39" s="399"/>
      <c r="H39" s="399"/>
      <c r="I39" s="436">
        <v>2</v>
      </c>
      <c r="J39" s="383"/>
      <c r="K39" s="432" t="str">
        <f>IF(G30="","Hectares",IF(R30="Production_végétale","Hectares",""))</f>
        <v>Hectares</v>
      </c>
      <c r="L39" s="399"/>
      <c r="M39" s="399"/>
      <c r="P39" s="432" t="s">
        <v>473</v>
      </c>
      <c r="Q39" s="399"/>
      <c r="R39" s="399"/>
      <c r="S39" s="399"/>
      <c r="T39" s="399"/>
      <c r="U39" s="399"/>
      <c r="V39" s="399"/>
      <c r="W39" s="399"/>
      <c r="X39" s="399"/>
      <c r="Y39" s="399"/>
      <c r="Z39" s="399"/>
      <c r="AA39" s="433" t="s">
        <v>303</v>
      </c>
      <c r="AB39" s="383"/>
      <c r="AD39" s="431" t="s">
        <v>474</v>
      </c>
      <c r="AE39" s="399"/>
      <c r="AF39" s="399"/>
      <c r="AG39" s="428" t="s">
        <v>475</v>
      </c>
      <c r="AH39" s="429"/>
      <c r="AI39" s="429"/>
      <c r="AJ39" s="429"/>
      <c r="AK39" s="429"/>
      <c r="AL39" s="430"/>
      <c r="AM39" s="71"/>
    </row>
    <row r="40" spans="2:39" ht="6.75" customHeight="1" x14ac:dyDescent="0.35">
      <c r="B40" s="70"/>
      <c r="C40" s="61"/>
      <c r="D40" s="61"/>
      <c r="E40" s="61"/>
      <c r="F40" s="61"/>
      <c r="G40" s="61"/>
      <c r="H40" s="61"/>
      <c r="I40" s="61"/>
      <c r="J40" s="61"/>
      <c r="K40" s="61"/>
      <c r="L40" s="61"/>
      <c r="M40" s="61"/>
      <c r="R40" s="83"/>
      <c r="S40" s="83"/>
      <c r="T40" s="83"/>
      <c r="U40" s="83"/>
      <c r="V40" s="83"/>
      <c r="W40" s="83"/>
      <c r="X40" s="83"/>
      <c r="Y40" s="83"/>
      <c r="Z40" s="83"/>
      <c r="AC40" s="72"/>
      <c r="AD40" s="72"/>
      <c r="AE40" s="72"/>
      <c r="AG40" s="63"/>
      <c r="AH40" s="63"/>
      <c r="AI40" s="63"/>
      <c r="AJ40" s="63"/>
      <c r="AK40" s="63"/>
      <c r="AL40" s="63"/>
      <c r="AM40" s="71"/>
    </row>
    <row r="41" spans="2:39" ht="3" customHeight="1" x14ac:dyDescent="0.35">
      <c r="B41" s="70"/>
      <c r="R41" s="83"/>
      <c r="S41" s="83"/>
      <c r="T41" s="83"/>
      <c r="U41" s="83"/>
      <c r="V41" s="83"/>
      <c r="W41" s="83"/>
      <c r="X41" s="83"/>
      <c r="Y41" s="83"/>
      <c r="Z41" s="83"/>
      <c r="AC41" s="471"/>
      <c r="AD41" s="399"/>
      <c r="AM41" s="71"/>
    </row>
    <row r="42" spans="2:39" ht="0.75" customHeight="1" x14ac:dyDescent="0.35">
      <c r="B42" s="70"/>
      <c r="R42" s="83"/>
      <c r="S42" s="83"/>
      <c r="T42" s="83"/>
      <c r="U42" s="83"/>
      <c r="V42" s="83"/>
      <c r="W42" s="83"/>
      <c r="X42" s="83"/>
      <c r="Y42" s="83"/>
      <c r="Z42" s="83"/>
      <c r="AM42" s="71"/>
    </row>
    <row r="43" spans="2:39" ht="15.75" customHeight="1" x14ac:dyDescent="0.35">
      <c r="B43" s="70"/>
      <c r="C43" s="432" t="s">
        <v>476</v>
      </c>
      <c r="D43" s="399"/>
      <c r="E43" s="399"/>
      <c r="F43" s="399"/>
      <c r="G43" s="459" t="s">
        <v>477</v>
      </c>
      <c r="H43" s="382"/>
      <c r="I43" s="382"/>
      <c r="J43" s="382"/>
      <c r="K43" s="382"/>
      <c r="L43" s="382"/>
      <c r="M43" s="382"/>
      <c r="N43" s="382"/>
      <c r="O43" s="382"/>
      <c r="P43" s="382"/>
      <c r="Q43" s="382"/>
      <c r="R43" s="382"/>
      <c r="S43" s="382"/>
      <c r="T43" s="382"/>
      <c r="U43" s="382"/>
      <c r="V43" s="383"/>
      <c r="W43" s="83"/>
      <c r="X43" s="83"/>
      <c r="Y43" s="463" t="str">
        <f>IF(AA39="A",PARAMETRAGE!N24,IF('1. DEMANDE'!AA39="B",PARAMETRAGE!N25,IF('1. DEMANDE'!AA39="C",PARAMETRAGE!N26,IF('1. DEMANDE'!AA39="D",PARAMETRAGE!N27,IF('1. DEMANDE'!AA39="E",PARAMETRAGE!N28,IF('1. DEMANDE'!AA39="F",PARAMETRAGE!N29,IF('1. DEMANDE'!AA39="G",PARAMETRAGE!N30,IF('1. DEMANDE'!AA39="H",PARAMETRAGE!N31,IF('1. DEMANDE'!AA39="I",PARAMETRAGE!N32,"")))))))))</f>
        <v xml:space="preserve">Riz, banane, ananas, agrume, légumes, palmier à huile, pêche, élevage, Taro. (Zone : Conakry, Forécariah, Dubréka, Boffa).
</v>
      </c>
      <c r="Z43" s="464"/>
      <c r="AA43" s="464"/>
      <c r="AB43" s="464"/>
      <c r="AC43" s="464"/>
      <c r="AD43" s="464"/>
      <c r="AE43" s="464"/>
      <c r="AF43" s="464"/>
      <c r="AG43" s="464"/>
      <c r="AH43" s="464"/>
      <c r="AI43" s="464"/>
      <c r="AJ43" s="464"/>
      <c r="AK43" s="464"/>
      <c r="AL43" s="465"/>
      <c r="AM43" s="71"/>
    </row>
    <row r="44" spans="2:39" ht="9" customHeight="1" x14ac:dyDescent="0.35">
      <c r="B44" s="70"/>
      <c r="C44" s="83"/>
      <c r="R44" s="83"/>
      <c r="S44" s="83"/>
      <c r="T44" s="83"/>
      <c r="U44" s="83"/>
      <c r="V44" s="83"/>
      <c r="W44" s="83"/>
      <c r="X44" s="83"/>
      <c r="Y44" s="466"/>
      <c r="Z44" s="399"/>
      <c r="AA44" s="399"/>
      <c r="AB44" s="399"/>
      <c r="AC44" s="399"/>
      <c r="AD44" s="399"/>
      <c r="AE44" s="399"/>
      <c r="AF44" s="399"/>
      <c r="AG44" s="399"/>
      <c r="AH44" s="399"/>
      <c r="AI44" s="399"/>
      <c r="AJ44" s="399"/>
      <c r="AK44" s="399"/>
      <c r="AL44" s="467"/>
      <c r="AM44" s="71"/>
    </row>
    <row r="45" spans="2:39" ht="15.75" customHeight="1" x14ac:dyDescent="0.35">
      <c r="B45" s="70"/>
      <c r="C45" s="432" t="s">
        <v>478</v>
      </c>
      <c r="D45" s="399"/>
      <c r="E45" s="399"/>
      <c r="F45" s="399"/>
      <c r="G45" s="459" t="s">
        <v>479</v>
      </c>
      <c r="H45" s="382"/>
      <c r="I45" s="382"/>
      <c r="J45" s="382"/>
      <c r="K45" s="382"/>
      <c r="L45" s="382"/>
      <c r="M45" s="383"/>
      <c r="R45" s="83"/>
      <c r="S45" s="83"/>
      <c r="T45" s="83"/>
      <c r="U45" s="83"/>
      <c r="V45" s="83"/>
      <c r="W45" s="83"/>
      <c r="X45" s="83"/>
      <c r="Y45" s="468"/>
      <c r="Z45" s="469"/>
      <c r="AA45" s="469"/>
      <c r="AB45" s="469"/>
      <c r="AC45" s="469"/>
      <c r="AD45" s="469"/>
      <c r="AE45" s="469"/>
      <c r="AF45" s="469"/>
      <c r="AG45" s="469"/>
      <c r="AH45" s="469"/>
      <c r="AI45" s="469"/>
      <c r="AJ45" s="469"/>
      <c r="AK45" s="469"/>
      <c r="AL45" s="470"/>
      <c r="AM45" s="71"/>
    </row>
    <row r="46" spans="2:39" ht="15.75" customHeight="1" x14ac:dyDescent="0.3">
      <c r="B46" s="91"/>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3"/>
    </row>
    <row r="47" spans="2:39" ht="15.75" customHeight="1" x14ac:dyDescent="0.3"/>
    <row r="48" spans="2:39" ht="15.75" customHeight="1" x14ac:dyDescent="0.35">
      <c r="B48" s="66" t="s">
        <v>480</v>
      </c>
      <c r="C48" s="450" t="s">
        <v>481</v>
      </c>
      <c r="D48" s="446"/>
      <c r="E48" s="446"/>
      <c r="F48" s="446"/>
      <c r="G48" s="446"/>
      <c r="H48" s="446"/>
      <c r="I48" s="446"/>
      <c r="J48" s="446"/>
      <c r="K48" s="447"/>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9"/>
    </row>
    <row r="49" spans="1:48" ht="9.75" customHeight="1" x14ac:dyDescent="0.3">
      <c r="B49" s="70"/>
      <c r="AM49" s="71"/>
    </row>
    <row r="50" spans="1:48" ht="15.75" customHeight="1" x14ac:dyDescent="0.35">
      <c r="B50" s="70"/>
      <c r="C50" s="432" t="s">
        <v>482</v>
      </c>
      <c r="D50" s="399"/>
      <c r="E50" s="399"/>
      <c r="F50" s="399"/>
      <c r="G50" s="399"/>
      <c r="H50" s="455">
        <v>300000000</v>
      </c>
      <c r="I50" s="382"/>
      <c r="J50" s="382"/>
      <c r="K50" s="382"/>
      <c r="L50" s="383"/>
      <c r="M50" s="424" t="s">
        <v>483</v>
      </c>
      <c r="N50" s="399"/>
      <c r="P50" s="432" t="s">
        <v>484</v>
      </c>
      <c r="Q50" s="399"/>
      <c r="R50" s="399"/>
      <c r="S50" s="399"/>
      <c r="T50" s="399"/>
      <c r="U50" s="399"/>
      <c r="V50" s="453">
        <v>8</v>
      </c>
      <c r="W50" s="383"/>
      <c r="X50" s="432" t="s">
        <v>485</v>
      </c>
      <c r="Y50" s="399"/>
      <c r="Z50" s="432" t="s">
        <v>486</v>
      </c>
      <c r="AA50" s="399"/>
      <c r="AB50" s="399"/>
      <c r="AC50" s="399"/>
      <c r="AD50" s="399"/>
      <c r="AE50" s="399"/>
      <c r="AF50" s="399"/>
      <c r="AG50" s="399"/>
      <c r="AH50" s="399"/>
      <c r="AI50" s="422" t="s">
        <v>312</v>
      </c>
      <c r="AJ50" s="382"/>
      <c r="AK50" s="382"/>
      <c r="AL50" s="383"/>
      <c r="AM50" s="71"/>
    </row>
    <row r="51" spans="1:48" ht="15.75" customHeight="1" x14ac:dyDescent="0.3">
      <c r="B51" s="70"/>
      <c r="AM51" s="71"/>
    </row>
    <row r="52" spans="1:48" ht="18" customHeight="1" x14ac:dyDescent="0.3">
      <c r="A52" s="96"/>
      <c r="B52" s="97"/>
      <c r="C52" s="452" t="s">
        <v>487</v>
      </c>
      <c r="D52" s="399"/>
      <c r="E52" s="399"/>
      <c r="F52" s="399"/>
      <c r="G52" s="454">
        <v>0.03</v>
      </c>
      <c r="H52" s="382"/>
      <c r="I52" s="382"/>
      <c r="J52" s="383"/>
      <c r="K52" s="414" t="s">
        <v>488</v>
      </c>
      <c r="L52" s="399"/>
      <c r="M52" s="399"/>
      <c r="N52" s="399"/>
      <c r="O52" s="399"/>
      <c r="P52" s="399"/>
      <c r="Q52" s="453">
        <v>5</v>
      </c>
      <c r="R52" s="383"/>
      <c r="S52" s="90" t="s">
        <v>485</v>
      </c>
      <c r="T52" s="96"/>
      <c r="U52" s="414" t="s">
        <v>489</v>
      </c>
      <c r="V52" s="399"/>
      <c r="W52" s="399"/>
      <c r="X52" s="399"/>
      <c r="Y52" s="399"/>
      <c r="Z52" s="399"/>
      <c r="AA52" s="415">
        <v>3</v>
      </c>
      <c r="AB52" s="383"/>
      <c r="AC52" s="414" t="s">
        <v>490</v>
      </c>
      <c r="AD52" s="399"/>
      <c r="AE52" s="399"/>
      <c r="AF52" s="399"/>
      <c r="AG52" s="399"/>
      <c r="AH52" s="416">
        <v>363000000</v>
      </c>
      <c r="AI52" s="382"/>
      <c r="AJ52" s="382"/>
      <c r="AK52" s="382"/>
      <c r="AL52" s="383"/>
      <c r="AM52" s="98"/>
      <c r="AN52" s="96"/>
      <c r="AO52" s="96"/>
      <c r="AP52" s="96"/>
      <c r="AQ52" s="96"/>
      <c r="AR52" s="96"/>
      <c r="AS52" s="96"/>
      <c r="AT52" s="96"/>
      <c r="AU52" s="96"/>
      <c r="AV52" s="96"/>
    </row>
    <row r="53" spans="1:48" ht="15.75" customHeight="1" x14ac:dyDescent="0.3">
      <c r="B53" s="70"/>
      <c r="AF53" s="99"/>
      <c r="AG53" s="99"/>
      <c r="AH53" s="423" t="s">
        <v>491</v>
      </c>
      <c r="AI53" s="399"/>
      <c r="AJ53" s="399"/>
      <c r="AK53" s="399"/>
      <c r="AL53" s="399"/>
      <c r="AM53" s="71"/>
    </row>
    <row r="54" spans="1:48" ht="15.75" customHeight="1" x14ac:dyDescent="0.35">
      <c r="B54" s="70"/>
      <c r="C54" s="432" t="s">
        <v>492</v>
      </c>
      <c r="D54" s="399"/>
      <c r="E54" s="399"/>
      <c r="F54" s="399"/>
      <c r="G54" s="399"/>
      <c r="H54" s="399"/>
      <c r="I54" s="433" t="s">
        <v>99</v>
      </c>
      <c r="J54" s="382"/>
      <c r="K54" s="382"/>
      <c r="L54" s="382"/>
      <c r="M54" s="382"/>
      <c r="N54" s="382"/>
      <c r="O54" s="382"/>
      <c r="P54" s="382"/>
      <c r="Q54" s="382"/>
      <c r="R54" s="383"/>
      <c r="T54" s="424" t="s">
        <v>493</v>
      </c>
      <c r="U54" s="399"/>
      <c r="V54" s="399"/>
      <c r="W54" s="399"/>
      <c r="X54" s="399"/>
      <c r="Y54" s="399"/>
      <c r="Z54" s="399"/>
      <c r="AA54" s="417" t="s">
        <v>494</v>
      </c>
      <c r="AB54" s="418"/>
      <c r="AC54" s="418"/>
      <c r="AD54" s="418"/>
      <c r="AE54" s="418"/>
      <c r="AF54" s="418"/>
      <c r="AG54" s="418"/>
      <c r="AH54" s="418"/>
      <c r="AI54" s="418"/>
      <c r="AJ54" s="418"/>
      <c r="AK54" s="418"/>
      <c r="AL54" s="392"/>
      <c r="AM54" s="71"/>
    </row>
    <row r="55" spans="1:48" ht="8.25" customHeight="1" x14ac:dyDescent="0.3">
      <c r="B55" s="70"/>
      <c r="AA55" s="419"/>
      <c r="AB55" s="399"/>
      <c r="AC55" s="399"/>
      <c r="AD55" s="399"/>
      <c r="AE55" s="399"/>
      <c r="AF55" s="399"/>
      <c r="AG55" s="399"/>
      <c r="AH55" s="399"/>
      <c r="AI55" s="399"/>
      <c r="AJ55" s="399"/>
      <c r="AK55" s="399"/>
      <c r="AL55" s="420"/>
      <c r="AM55" s="71"/>
    </row>
    <row r="56" spans="1:48" ht="15.75" customHeight="1" x14ac:dyDescent="0.35">
      <c r="B56" s="70"/>
      <c r="C56" s="83" t="s">
        <v>495</v>
      </c>
      <c r="G56" s="100"/>
      <c r="I56" s="424" t="s">
        <v>496</v>
      </c>
      <c r="J56" s="399"/>
      <c r="K56" s="399"/>
      <c r="L56" s="399"/>
      <c r="M56" s="399"/>
      <c r="O56" s="100" t="s">
        <v>497</v>
      </c>
      <c r="Q56" s="424" t="s">
        <v>498</v>
      </c>
      <c r="R56" s="399"/>
      <c r="S56" s="399"/>
      <c r="T56" s="399"/>
      <c r="U56" s="399"/>
      <c r="V56" s="451">
        <v>2</v>
      </c>
      <c r="W56" s="383"/>
      <c r="AA56" s="393"/>
      <c r="AB56" s="421"/>
      <c r="AC56" s="421"/>
      <c r="AD56" s="421"/>
      <c r="AE56" s="421"/>
      <c r="AF56" s="421"/>
      <c r="AG56" s="421"/>
      <c r="AH56" s="421"/>
      <c r="AI56" s="421"/>
      <c r="AJ56" s="421"/>
      <c r="AK56" s="421"/>
      <c r="AL56" s="394"/>
      <c r="AM56" s="71"/>
    </row>
    <row r="57" spans="1:48" ht="9" customHeight="1" x14ac:dyDescent="0.3">
      <c r="B57" s="91"/>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3"/>
    </row>
    <row r="58" spans="1:48" ht="15.75" customHeight="1" x14ac:dyDescent="0.3"/>
    <row r="59" spans="1:48" ht="15.75" customHeight="1" x14ac:dyDescent="0.35">
      <c r="B59" s="66" t="s">
        <v>499</v>
      </c>
      <c r="C59" s="450" t="s">
        <v>500</v>
      </c>
      <c r="D59" s="446"/>
      <c r="E59" s="446"/>
      <c r="F59" s="446"/>
      <c r="G59" s="446"/>
      <c r="H59" s="446"/>
      <c r="I59" s="446"/>
      <c r="J59" s="446"/>
      <c r="K59" s="447"/>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9"/>
    </row>
    <row r="60" spans="1:48" ht="15.75" customHeight="1" x14ac:dyDescent="0.3">
      <c r="B60" s="70"/>
      <c r="AM60" s="71"/>
    </row>
    <row r="61" spans="1:48" ht="18" customHeight="1" x14ac:dyDescent="0.3">
      <c r="B61" s="101"/>
      <c r="C61" s="411" t="s">
        <v>501</v>
      </c>
      <c r="D61" s="407"/>
      <c r="E61" s="407"/>
      <c r="F61" s="407"/>
      <c r="G61" s="407"/>
      <c r="H61" s="407"/>
      <c r="I61" s="408"/>
      <c r="J61" s="411" t="s">
        <v>502</v>
      </c>
      <c r="K61" s="407"/>
      <c r="L61" s="407"/>
      <c r="M61" s="407"/>
      <c r="N61" s="407"/>
      <c r="O61" s="407"/>
      <c r="P61" s="407"/>
      <c r="Q61" s="407"/>
      <c r="R61" s="407"/>
      <c r="S61" s="407"/>
      <c r="T61" s="407"/>
      <c r="U61" s="407"/>
      <c r="V61" s="407"/>
      <c r="W61" s="407"/>
      <c r="X61" s="407"/>
      <c r="Y61" s="408"/>
      <c r="Z61" s="411" t="s">
        <v>503</v>
      </c>
      <c r="AA61" s="407"/>
      <c r="AB61" s="407"/>
      <c r="AC61" s="407"/>
      <c r="AD61" s="407"/>
      <c r="AE61" s="407"/>
      <c r="AF61" s="408"/>
      <c r="AG61" s="411" t="s">
        <v>504</v>
      </c>
      <c r="AH61" s="407"/>
      <c r="AI61" s="407"/>
      <c r="AJ61" s="407"/>
      <c r="AK61" s="407"/>
      <c r="AL61" s="408"/>
      <c r="AM61" s="71"/>
    </row>
    <row r="62" spans="1:48" ht="15.75" customHeight="1" x14ac:dyDescent="0.35">
      <c r="B62" s="70"/>
      <c r="C62" s="409" t="s">
        <v>505</v>
      </c>
      <c r="D62" s="407"/>
      <c r="E62" s="407"/>
      <c r="F62" s="407"/>
      <c r="G62" s="407"/>
      <c r="H62" s="407"/>
      <c r="I62" s="408"/>
      <c r="J62" s="410" t="s">
        <v>506</v>
      </c>
      <c r="K62" s="407"/>
      <c r="L62" s="407"/>
      <c r="M62" s="407"/>
      <c r="N62" s="407"/>
      <c r="O62" s="407"/>
      <c r="P62" s="407"/>
      <c r="Q62" s="407"/>
      <c r="R62" s="407"/>
      <c r="S62" s="407"/>
      <c r="T62" s="407"/>
      <c r="U62" s="407"/>
      <c r="V62" s="407"/>
      <c r="W62" s="407"/>
      <c r="X62" s="407"/>
      <c r="Y62" s="408"/>
      <c r="Z62" s="406"/>
      <c r="AA62" s="407"/>
      <c r="AB62" s="407"/>
      <c r="AC62" s="407"/>
      <c r="AD62" s="407"/>
      <c r="AE62" s="407"/>
      <c r="AF62" s="408"/>
      <c r="AG62" s="406"/>
      <c r="AH62" s="407"/>
      <c r="AI62" s="407"/>
      <c r="AJ62" s="407"/>
      <c r="AK62" s="407"/>
      <c r="AL62" s="408"/>
      <c r="AM62" s="71"/>
    </row>
    <row r="63" spans="1:48" ht="15.75" customHeight="1" x14ac:dyDescent="0.35">
      <c r="B63" s="70"/>
      <c r="C63" s="409" t="s">
        <v>507</v>
      </c>
      <c r="D63" s="407"/>
      <c r="E63" s="407"/>
      <c r="F63" s="407"/>
      <c r="G63" s="407"/>
      <c r="H63" s="407"/>
      <c r="I63" s="408"/>
      <c r="J63" s="410"/>
      <c r="K63" s="407"/>
      <c r="L63" s="407"/>
      <c r="M63" s="407"/>
      <c r="N63" s="407"/>
      <c r="O63" s="407"/>
      <c r="P63" s="407"/>
      <c r="Q63" s="407"/>
      <c r="R63" s="407"/>
      <c r="S63" s="407"/>
      <c r="T63" s="407"/>
      <c r="U63" s="407"/>
      <c r="V63" s="407"/>
      <c r="W63" s="407"/>
      <c r="X63" s="407"/>
      <c r="Y63" s="408"/>
      <c r="Z63" s="406"/>
      <c r="AA63" s="407"/>
      <c r="AB63" s="407"/>
      <c r="AC63" s="407"/>
      <c r="AD63" s="407"/>
      <c r="AE63" s="407"/>
      <c r="AF63" s="408"/>
      <c r="AG63" s="406"/>
      <c r="AH63" s="407"/>
      <c r="AI63" s="407"/>
      <c r="AJ63" s="407"/>
      <c r="AK63" s="407"/>
      <c r="AL63" s="408"/>
      <c r="AM63" s="71"/>
    </row>
    <row r="64" spans="1:48" ht="15.75" customHeight="1" x14ac:dyDescent="0.35">
      <c r="B64" s="70"/>
      <c r="C64" s="409" t="s">
        <v>508</v>
      </c>
      <c r="D64" s="407"/>
      <c r="E64" s="407"/>
      <c r="F64" s="407"/>
      <c r="G64" s="407"/>
      <c r="H64" s="407"/>
      <c r="I64" s="408"/>
      <c r="J64" s="410" t="s">
        <v>509</v>
      </c>
      <c r="K64" s="407"/>
      <c r="L64" s="407"/>
      <c r="M64" s="407"/>
      <c r="N64" s="407"/>
      <c r="O64" s="407"/>
      <c r="P64" s="407"/>
      <c r="Q64" s="407"/>
      <c r="R64" s="407"/>
      <c r="S64" s="407"/>
      <c r="T64" s="407"/>
      <c r="U64" s="407"/>
      <c r="V64" s="407"/>
      <c r="W64" s="407"/>
      <c r="X64" s="407"/>
      <c r="Y64" s="408"/>
      <c r="Z64" s="406">
        <v>810000000</v>
      </c>
      <c r="AA64" s="407"/>
      <c r="AB64" s="407"/>
      <c r="AC64" s="407"/>
      <c r="AD64" s="407"/>
      <c r="AE64" s="407"/>
      <c r="AF64" s="408"/>
      <c r="AG64" s="406">
        <v>648000000</v>
      </c>
      <c r="AH64" s="407"/>
      <c r="AI64" s="407"/>
      <c r="AJ64" s="407"/>
      <c r="AK64" s="407"/>
      <c r="AL64" s="408"/>
      <c r="AM64" s="71"/>
    </row>
    <row r="65" spans="2:39" ht="15.75" customHeight="1" x14ac:dyDescent="0.35">
      <c r="B65" s="70"/>
      <c r="C65" s="409" t="s">
        <v>510</v>
      </c>
      <c r="D65" s="407"/>
      <c r="E65" s="407"/>
      <c r="F65" s="407"/>
      <c r="G65" s="407"/>
      <c r="H65" s="407"/>
      <c r="I65" s="408"/>
      <c r="J65" s="410" t="s">
        <v>511</v>
      </c>
      <c r="K65" s="407"/>
      <c r="L65" s="407"/>
      <c r="M65" s="407"/>
      <c r="N65" s="407"/>
      <c r="O65" s="407"/>
      <c r="P65" s="407"/>
      <c r="Q65" s="407"/>
      <c r="R65" s="407"/>
      <c r="S65" s="407"/>
      <c r="T65" s="407"/>
      <c r="U65" s="407"/>
      <c r="V65" s="407"/>
      <c r="W65" s="407"/>
      <c r="X65" s="407"/>
      <c r="Y65" s="408"/>
      <c r="Z65" s="406"/>
      <c r="AA65" s="407"/>
      <c r="AB65" s="407"/>
      <c r="AC65" s="407"/>
      <c r="AD65" s="407"/>
      <c r="AE65" s="407"/>
      <c r="AF65" s="408"/>
      <c r="AG65" s="406"/>
      <c r="AH65" s="407"/>
      <c r="AI65" s="407"/>
      <c r="AJ65" s="407"/>
      <c r="AK65" s="407"/>
      <c r="AL65" s="408"/>
      <c r="AM65" s="71"/>
    </row>
    <row r="66" spans="2:39" ht="15.75" customHeight="1" x14ac:dyDescent="0.35">
      <c r="B66" s="70"/>
      <c r="C66" s="413" t="s">
        <v>259</v>
      </c>
      <c r="D66" s="407"/>
      <c r="E66" s="407"/>
      <c r="F66" s="407"/>
      <c r="G66" s="407"/>
      <c r="H66" s="407"/>
      <c r="I66" s="407"/>
      <c r="J66" s="407"/>
      <c r="K66" s="407"/>
      <c r="L66" s="407"/>
      <c r="M66" s="407"/>
      <c r="N66" s="407"/>
      <c r="O66" s="407"/>
      <c r="P66" s="407"/>
      <c r="Q66" s="407"/>
      <c r="R66" s="407"/>
      <c r="S66" s="407"/>
      <c r="T66" s="407"/>
      <c r="U66" s="407"/>
      <c r="V66" s="407"/>
      <c r="W66" s="407"/>
      <c r="X66" s="407"/>
      <c r="Y66" s="407"/>
      <c r="Z66" s="407"/>
      <c r="AA66" s="407"/>
      <c r="AB66" s="407"/>
      <c r="AC66" s="407"/>
      <c r="AD66" s="407"/>
      <c r="AE66" s="407"/>
      <c r="AF66" s="408"/>
      <c r="AG66" s="412">
        <f>AG62+AG63+AG64+AG65</f>
        <v>648000000</v>
      </c>
      <c r="AH66" s="407"/>
      <c r="AI66" s="407"/>
      <c r="AJ66" s="407"/>
      <c r="AK66" s="407"/>
      <c r="AL66" s="408"/>
      <c r="AM66" s="71"/>
    </row>
    <row r="67" spans="2:39" ht="15.75" customHeight="1" x14ac:dyDescent="0.3">
      <c r="B67" s="91"/>
      <c r="C67" s="92"/>
      <c r="D67" s="92"/>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3"/>
    </row>
    <row r="68" spans="2:39" ht="15.75" customHeight="1" x14ac:dyDescent="0.3"/>
    <row r="69" spans="2:39" ht="15.75" customHeight="1" x14ac:dyDescent="0.3"/>
    <row r="70" spans="2:39" ht="15.75" customHeight="1" x14ac:dyDescent="0.3"/>
    <row r="71" spans="2:39" ht="15.75" customHeight="1" x14ac:dyDescent="0.3"/>
    <row r="72" spans="2:39" ht="15.75" customHeight="1" x14ac:dyDescent="0.3"/>
    <row r="73" spans="2:39" ht="15.75" customHeight="1" x14ac:dyDescent="0.3"/>
    <row r="74" spans="2:39" ht="15.75" customHeight="1" x14ac:dyDescent="0.3"/>
    <row r="75" spans="2:39" ht="15.75" customHeight="1" x14ac:dyDescent="0.3"/>
    <row r="76" spans="2:39" ht="15.75" customHeight="1" x14ac:dyDescent="0.3"/>
    <row r="77" spans="2:39" ht="15.75" customHeight="1" x14ac:dyDescent="0.3"/>
    <row r="78" spans="2:39" ht="15.75" customHeight="1" x14ac:dyDescent="0.3"/>
    <row r="79" spans="2:39" ht="15.75" customHeight="1" x14ac:dyDescent="0.3"/>
    <row r="80" spans="2:39"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128">
    <mergeCell ref="AT19:AU19"/>
    <mergeCell ref="AH15:AL15"/>
    <mergeCell ref="AB15:AG15"/>
    <mergeCell ref="AC20:AE20"/>
    <mergeCell ref="O11:S11"/>
    <mergeCell ref="N19:O19"/>
    <mergeCell ref="H16:Z16"/>
    <mergeCell ref="J17:S17"/>
    <mergeCell ref="T17:X17"/>
    <mergeCell ref="Y19:Z19"/>
    <mergeCell ref="AA19:AF19"/>
    <mergeCell ref="C3:E3"/>
    <mergeCell ref="C7:H7"/>
    <mergeCell ref="C15:G15"/>
    <mergeCell ref="X50:Y50"/>
    <mergeCell ref="Z50:AH50"/>
    <mergeCell ref="Y43:AL45"/>
    <mergeCell ref="AC41:AD41"/>
    <mergeCell ref="AG30:AL30"/>
    <mergeCell ref="J32:AL32"/>
    <mergeCell ref="R30:X30"/>
    <mergeCell ref="X34:AL35"/>
    <mergeCell ref="T9:X9"/>
    <mergeCell ref="K23:AL23"/>
    <mergeCell ref="T11:AD11"/>
    <mergeCell ref="AF11:AH11"/>
    <mergeCell ref="H15:Z15"/>
    <mergeCell ref="Y17:AL17"/>
    <mergeCell ref="O24:Z24"/>
    <mergeCell ref="I21:M21"/>
    <mergeCell ref="O21:X21"/>
    <mergeCell ref="Y9:AD9"/>
    <mergeCell ref="J3:AE3"/>
    <mergeCell ref="AL9:AM9"/>
    <mergeCell ref="AE9:AF9"/>
    <mergeCell ref="I9:M9"/>
    <mergeCell ref="O9:S9"/>
    <mergeCell ref="M7:N7"/>
    <mergeCell ref="G43:V43"/>
    <mergeCell ref="C45:F45"/>
    <mergeCell ref="G45:M45"/>
    <mergeCell ref="C35:M35"/>
    <mergeCell ref="L34:M34"/>
    <mergeCell ref="P34:W34"/>
    <mergeCell ref="K37:M37"/>
    <mergeCell ref="P37:V37"/>
    <mergeCell ref="C17:I17"/>
    <mergeCell ref="C19:I19"/>
    <mergeCell ref="C43:F43"/>
    <mergeCell ref="C39:H39"/>
    <mergeCell ref="C9:H9"/>
    <mergeCell ref="C21:H21"/>
    <mergeCell ref="C25:J25"/>
    <mergeCell ref="C23:J23"/>
    <mergeCell ref="C32:I32"/>
    <mergeCell ref="C30:F30"/>
    <mergeCell ref="G30:L30"/>
    <mergeCell ref="M30:Q30"/>
    <mergeCell ref="C28:L28"/>
    <mergeCell ref="K25:M25"/>
    <mergeCell ref="P25:U25"/>
    <mergeCell ref="Z30:AF30"/>
    <mergeCell ref="V25:Z25"/>
    <mergeCell ref="Q19:W19"/>
    <mergeCell ref="AI9:AJ9"/>
    <mergeCell ref="AJ21:AK21"/>
    <mergeCell ref="AD5:AL5"/>
    <mergeCell ref="Z5:AC5"/>
    <mergeCell ref="Y7:AC7"/>
    <mergeCell ref="AD7:AL7"/>
    <mergeCell ref="AI11:AM11"/>
    <mergeCell ref="AI50:AL50"/>
    <mergeCell ref="AH53:AL53"/>
    <mergeCell ref="T54:Z54"/>
    <mergeCell ref="W37:AB37"/>
    <mergeCell ref="AC37:AF37"/>
    <mergeCell ref="AG37:AL37"/>
    <mergeCell ref="AG39:AL39"/>
    <mergeCell ref="AD39:AF39"/>
    <mergeCell ref="P39:Z39"/>
    <mergeCell ref="AA39:AB39"/>
    <mergeCell ref="I54:R54"/>
    <mergeCell ref="Q52:R52"/>
    <mergeCell ref="G52:J52"/>
    <mergeCell ref="K52:P52"/>
    <mergeCell ref="C50:G50"/>
    <mergeCell ref="H50:L50"/>
    <mergeCell ref="M50:N50"/>
    <mergeCell ref="P50:U50"/>
    <mergeCell ref="V50:W50"/>
    <mergeCell ref="C48:K48"/>
    <mergeCell ref="C37:H37"/>
    <mergeCell ref="I37:J37"/>
    <mergeCell ref="I39:J39"/>
    <mergeCell ref="K39:M39"/>
    <mergeCell ref="Z61:AF61"/>
    <mergeCell ref="J61:Y61"/>
    <mergeCell ref="C61:I61"/>
    <mergeCell ref="AG66:AL66"/>
    <mergeCell ref="C66:AF66"/>
    <mergeCell ref="Z62:AF62"/>
    <mergeCell ref="Z63:AF63"/>
    <mergeCell ref="U52:Z52"/>
    <mergeCell ref="AA52:AB52"/>
    <mergeCell ref="AH52:AL52"/>
    <mergeCell ref="AC52:AG52"/>
    <mergeCell ref="AG62:AL62"/>
    <mergeCell ref="AG63:AL63"/>
    <mergeCell ref="AA54:AL56"/>
    <mergeCell ref="AG61:AL61"/>
    <mergeCell ref="C54:H54"/>
    <mergeCell ref="C62:I62"/>
    <mergeCell ref="C63:I63"/>
    <mergeCell ref="C59:K59"/>
    <mergeCell ref="I56:M56"/>
    <mergeCell ref="Q56:U56"/>
    <mergeCell ref="V56:W56"/>
    <mergeCell ref="C52:F52"/>
    <mergeCell ref="Z64:AF64"/>
    <mergeCell ref="Z65:AF65"/>
    <mergeCell ref="AG64:AL64"/>
    <mergeCell ref="AG65:AL65"/>
    <mergeCell ref="C64:I64"/>
    <mergeCell ref="C65:I65"/>
    <mergeCell ref="J62:Y62"/>
    <mergeCell ref="J63:Y63"/>
    <mergeCell ref="J64:Y64"/>
    <mergeCell ref="J65:Y65"/>
  </mergeCells>
  <conditionalFormatting sqref="I37:J37">
    <cfRule type="expression" dxfId="67" priority="1">
      <formula>OR($C$37="Superficie disponible :", $C$37="Nombre de têtes :")</formula>
    </cfRule>
  </conditionalFormatting>
  <conditionalFormatting sqref="I39:J39">
    <cfRule type="expression" dxfId="66" priority="2">
      <formula>$C$37="Superficie disponible :"</formula>
    </cfRule>
  </conditionalFormatting>
  <conditionalFormatting sqref="T11">
    <cfRule type="expression" dxfId="65" priority="3">
      <formula>OR($O$9="Type de Gpe/Grmt",$O$9="Type de Groupe",$O$9="Type de Grpment")</formula>
    </cfRule>
  </conditionalFormatting>
  <conditionalFormatting sqref="T9:X9">
    <cfRule type="expression" dxfId="64" priority="4">
      <formula>OR($O$9="Type de Gpe/Grmt",$O$9="Type de Groupe",$O$9="Type de Grpment")</formula>
    </cfRule>
  </conditionalFormatting>
  <conditionalFormatting sqref="AE9:AF9">
    <cfRule type="expression" dxfId="63" priority="5">
      <formula>OR($O$9="Type de Gpe/Grmt",$O$9="Type de Groupe",$O$9="Type de Grpment")</formula>
    </cfRule>
  </conditionalFormatting>
  <conditionalFormatting sqref="AI11">
    <cfRule type="expression" dxfId="62" priority="6">
      <formula>OR($O$9="Type de Gpe/Grmt",$O$9="Type de Groupe",$O$9="Type de Grpment")</formula>
    </cfRule>
  </conditionalFormatting>
  <conditionalFormatting sqref="AI9:AJ9">
    <cfRule type="expression" dxfId="61" priority="7">
      <formula>OR($O$9="Type de Gpe/Grmt",$O$9="Type de Groupe",$O$9="Type de Grpment")</formula>
    </cfRule>
  </conditionalFormatting>
  <conditionalFormatting sqref="AL9:AM9">
    <cfRule type="expression" dxfId="60" priority="8">
      <formula>OR($O$9="Type de Gpe/Grmt",$O$9="Type de Groupe",$O$9="Type de Grpment")</formula>
    </cfRule>
  </conditionalFormatting>
  <dataValidations count="18">
    <dataValidation type="list" allowBlank="1" showErrorMessage="1" sqref="I54" xr:uid="{00000000-0002-0000-0400-000000000000}">
      <formula1>Objet_crédit</formula1>
    </dataValidation>
    <dataValidation type="decimal" allowBlank="1" showInputMessage="1" showErrorMessage="1" prompt="Attention ! - La valeur d'emprunt ne peut être supérieure à la valeur de la garantie. Dans le cas d'espèce, la limite est de 90%." sqref="AG62:AG65" xr:uid="{00000000-0002-0000-0400-000001000000}">
      <formula1>0</formula1>
      <formula2>Z62*0.9</formula2>
    </dataValidation>
    <dataValidation type="decimal" allowBlank="1" showErrorMessage="1" sqref="I7 J19" xr:uid="{00000000-0002-0000-0400-000003000000}">
      <formula1>1</formula1>
      <formula2>31</formula2>
    </dataValidation>
    <dataValidation type="list" allowBlank="1" showInputMessage="1" showErrorMessage="1" prompt="Choisir le type de pièce d'identité" sqref="J18" xr:uid="{00000000-0002-0000-0400-000004000000}">
      <formula1>"Carte Nationale d'identité,Carte d'Identité Biométrique,Carte d'Identification Personnelle,Passeport,Autre"</formula1>
    </dataValidation>
    <dataValidation type="decimal" allowBlank="1" showErrorMessage="1" sqref="N19" xr:uid="{00000000-0002-0000-0400-000006000000}">
      <formula1>1950</formula1>
      <formula2>2050</formula2>
    </dataValidation>
    <dataValidation type="list" allowBlank="1" showErrorMessage="1" sqref="AG37" xr:uid="{00000000-0002-0000-0400-000007000000}">
      <formula1>INDIRECT($W$37)</formula1>
    </dataValidation>
    <dataValidation type="decimal" allowBlank="1" showErrorMessage="1" sqref="K7 L19" xr:uid="{00000000-0002-0000-0400-000008000000}">
      <formula1>1</formula1>
      <formula2>12</formula2>
    </dataValidation>
    <dataValidation type="list" allowBlank="1" showInputMessage="1" showErrorMessage="1" prompt="Composition du groupe ou du groupement (mixte, féminin ou Masculin)" sqref="T9" xr:uid="{00000000-0002-0000-0400-00000A000000}">
      <formula1>"MIXTE,FÉMININ,MASCULIN"</formula1>
    </dataValidation>
    <dataValidation type="list" allowBlank="1" showInputMessage="1" showErrorMessage="1" prompt="Choisir le type de pièce d'identité" sqref="J17" xr:uid="{00000000-0002-0000-0400-00000B000000}">
      <formula1>"Carte Nationale d'identité,Carte d'Identité Biométrique,Possession d'État,Carte d'Identification Personnelle,Passeport,Autre"</formula1>
    </dataValidation>
    <dataValidation type="list" allowBlank="1" showErrorMessage="1" sqref="AA19" xr:uid="{00000000-0002-0000-0400-00000C000000}">
      <formula1>"Femme,Homme"</formula1>
    </dataValidation>
    <dataValidation type="list" allowBlank="1" showErrorMessage="1" sqref="AA39" xr:uid="{00000000-0002-0000-0400-00000D000000}">
      <formula1>PDA</formula1>
    </dataValidation>
    <dataValidation type="list" allowBlank="1" showErrorMessage="1" sqref="I21" xr:uid="{00000000-0002-0000-0400-00000E000000}">
      <formula1>"Célibataire,Concubinage,Fiancé(e ),Marié (e),Divorcé(e ),Veuf(ve),Autre"</formula1>
    </dataValidation>
    <dataValidation type="list" allowBlank="1" showErrorMessage="1" sqref="V25" xr:uid="{00000000-0002-0000-0400-00000F000000}">
      <formula1>"Location,Propriétaire,Familiale"</formula1>
    </dataValidation>
    <dataValidation type="list" allowBlank="1" showErrorMessage="1" sqref="AG30" xr:uid="{00000000-0002-0000-0400-000010000000}">
      <formula1>INDIRECT($R$30)</formula1>
    </dataValidation>
    <dataValidation type="decimal" allowBlank="1" showErrorMessage="1" sqref="V50" xr:uid="{00000000-0002-0000-0400-000011000000}">
      <formula1>1</formula1>
      <formula2>120</formula2>
    </dataValidation>
    <dataValidation type="decimal" allowBlank="1" showErrorMessage="1" sqref="M7" xr:uid="{00000000-0002-0000-0400-000012000000}">
      <formula1>2022</formula1>
      <formula2>2050</formula2>
    </dataValidation>
    <dataValidation type="list" allowBlank="1" showErrorMessage="1" sqref="I9" xr:uid="{00000000-0002-0000-0400-000013000000}">
      <formula1>"Individuel,Groupe,Groupement"</formula1>
    </dataValidation>
    <dataValidation type="list" allowBlank="1" showErrorMessage="1" sqref="R30" xr:uid="{00000000-0002-0000-0400-000014000000}">
      <formula1>INDIRECT($G$30)</formula1>
    </dataValidation>
  </dataValidations>
  <pageMargins left="0.51181102362204722" right="0.51181102362204722" top="0.74803149606299213" bottom="0.74803149606299213" header="0" footer="0"/>
  <pageSetup scale="65" orientation="portrait"/>
  <headerFooter>
    <oddFooter>&amp;LGrille d’analyse de crédit agricole développé par DID&amp;C_x000D_#000000 Usage Interne</oddFooter>
  </headerFooter>
  <drawing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400-000002000000}">
          <x14:formula1>
            <xm:f>PARAMETRAGE!$P$1:$W$1</xm:f>
          </x14:formula1>
          <xm:sqref>W37</xm:sqref>
        </x14:dataValidation>
        <x14:dataValidation type="list" allowBlank="1" showErrorMessage="1" xr:uid="{00000000-0002-0000-0400-000005000000}">
          <x14:formula1>
            <xm:f>INDIRECT(PARAMETRAGE!$DY$2)</xm:f>
          </x14:formula1>
          <xm:sqref>AI50</xm:sqref>
        </x14:dataValidation>
        <x14:dataValidation type="list" allowBlank="1" showErrorMessage="1" xr:uid="{00000000-0002-0000-0400-000009000000}">
          <x14:formula1>
            <xm:f>PARAMETRAGE!$AC$1:$AG$1</xm:f>
          </x14:formula1>
          <xm:sqref>G30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2:L100"/>
  <sheetViews>
    <sheetView showGridLines="0" workbookViewId="0">
      <pane xSplit="11" ySplit="30" topLeftCell="L31" activePane="bottomRight" state="frozen"/>
      <selection pane="topRight" activeCell="L1" sqref="L1"/>
      <selection pane="bottomLeft" activeCell="A31" sqref="A31"/>
      <selection pane="bottomRight" activeCell="C28" sqref="C28"/>
    </sheetView>
  </sheetViews>
  <sheetFormatPr baseColWidth="10" defaultColWidth="14.44140625" defaultRowHeight="15" customHeight="1" x14ac:dyDescent="0.3"/>
  <cols>
    <col min="1" max="1" width="9.5546875" customWidth="1"/>
    <col min="2" max="2" width="38.88671875" customWidth="1"/>
    <col min="3" max="3" width="17" customWidth="1"/>
    <col min="4" max="4" width="17.5546875" customWidth="1"/>
    <col min="5" max="5" width="16.5546875" customWidth="1"/>
    <col min="6" max="6" width="16.44140625" customWidth="1"/>
    <col min="7" max="7" width="16.88671875" customWidth="1"/>
    <col min="8" max="8" width="16.5546875" customWidth="1"/>
    <col min="9" max="9" width="18.5546875" customWidth="1"/>
    <col min="10" max="12" width="11.5546875" customWidth="1"/>
  </cols>
  <sheetData>
    <row r="2" spans="1:12" ht="17.399999999999999" x14ac:dyDescent="0.35">
      <c r="B2" s="79" t="s">
        <v>512</v>
      </c>
      <c r="C2" s="486"/>
      <c r="D2" s="399"/>
      <c r="E2" s="83"/>
      <c r="F2" s="83"/>
      <c r="G2" s="102"/>
      <c r="H2" s="83"/>
      <c r="I2" s="83"/>
    </row>
    <row r="3" spans="1:12" ht="17.399999999999999" x14ac:dyDescent="0.35">
      <c r="B3" s="79" t="s">
        <v>513</v>
      </c>
      <c r="C3" s="487" t="str">
        <f>'1. DEMANDE'!H15</f>
        <v>MARIAMA KABA</v>
      </c>
      <c r="D3" s="382"/>
      <c r="E3" s="382"/>
      <c r="F3" s="383"/>
      <c r="G3" s="103" t="s">
        <v>514</v>
      </c>
      <c r="H3" s="104">
        <f>'1. DEMANDE'!AH15</f>
        <v>10300181501</v>
      </c>
      <c r="I3" s="83"/>
    </row>
    <row r="4" spans="1:12" ht="9.75" customHeight="1" x14ac:dyDescent="0.35">
      <c r="B4" s="79"/>
      <c r="C4" s="79"/>
      <c r="D4" s="79"/>
      <c r="E4" s="79"/>
      <c r="F4" s="79"/>
      <c r="G4" s="103"/>
      <c r="H4" s="83"/>
      <c r="I4" s="83"/>
    </row>
    <row r="5" spans="1:12" ht="17.399999999999999" x14ac:dyDescent="0.35">
      <c r="B5" s="105" t="s">
        <v>515</v>
      </c>
      <c r="C5" s="106">
        <v>46093</v>
      </c>
      <c r="D5" s="107"/>
      <c r="E5" s="105"/>
      <c r="F5" s="105"/>
      <c r="G5" s="105"/>
      <c r="H5" s="105"/>
      <c r="I5" s="105"/>
    </row>
    <row r="6" spans="1:12" ht="17.399999999999999" x14ac:dyDescent="0.35">
      <c r="B6" s="61"/>
      <c r="C6" s="61"/>
      <c r="D6" s="108"/>
      <c r="E6" s="83"/>
      <c r="F6" s="83"/>
      <c r="G6" s="83"/>
      <c r="H6" s="83"/>
      <c r="I6" s="83"/>
    </row>
    <row r="7" spans="1:12" ht="17.399999999999999" x14ac:dyDescent="0.35">
      <c r="B7" s="488" t="s">
        <v>516</v>
      </c>
      <c r="C7" s="399"/>
      <c r="D7" s="109">
        <v>46127</v>
      </c>
      <c r="E7" s="110" t="s">
        <v>517</v>
      </c>
      <c r="F7" s="111">
        <v>46614</v>
      </c>
      <c r="G7" s="79"/>
      <c r="H7" s="79"/>
      <c r="I7" s="83"/>
    </row>
    <row r="9" spans="1:12" ht="14.4" x14ac:dyDescent="0.3">
      <c r="B9" s="112" t="s">
        <v>518</v>
      </c>
      <c r="C9" s="113" t="s">
        <v>519</v>
      </c>
      <c r="D9" s="114" t="s">
        <v>520</v>
      </c>
      <c r="E9" s="113" t="s">
        <v>521</v>
      </c>
      <c r="F9" s="114" t="s">
        <v>522</v>
      </c>
      <c r="G9" s="113" t="s">
        <v>523</v>
      </c>
      <c r="H9" s="113" t="s">
        <v>524</v>
      </c>
      <c r="I9" s="115" t="s">
        <v>525</v>
      </c>
    </row>
    <row r="10" spans="1:12" ht="14.4" x14ac:dyDescent="0.3">
      <c r="A10" s="96"/>
      <c r="B10" s="116" t="s">
        <v>526</v>
      </c>
      <c r="C10" s="117" t="s">
        <v>527</v>
      </c>
      <c r="D10" s="118"/>
      <c r="E10" s="117"/>
      <c r="F10" s="118"/>
      <c r="G10" s="117"/>
      <c r="H10" s="119"/>
      <c r="I10" s="120"/>
      <c r="J10" s="96"/>
      <c r="K10" s="96"/>
      <c r="L10" s="96"/>
    </row>
    <row r="11" spans="1:12" ht="15.6" x14ac:dyDescent="0.3">
      <c r="B11" s="121" t="s">
        <v>528</v>
      </c>
      <c r="C11" s="122">
        <v>2</v>
      </c>
      <c r="D11" s="123"/>
      <c r="E11" s="122"/>
      <c r="F11" s="123"/>
      <c r="G11" s="122"/>
      <c r="H11" s="123"/>
      <c r="I11" s="124">
        <f>C11+D11+E11+F11+G11+H11</f>
        <v>2</v>
      </c>
    </row>
    <row r="12" spans="1:12" ht="14.4" x14ac:dyDescent="0.3">
      <c r="B12" s="489" t="s">
        <v>529</v>
      </c>
      <c r="C12" s="479"/>
      <c r="D12" s="479"/>
      <c r="E12" s="479"/>
      <c r="F12" s="479"/>
      <c r="G12" s="479"/>
      <c r="H12" s="479"/>
      <c r="I12" s="480"/>
    </row>
    <row r="13" spans="1:12" ht="15.6" hidden="1" x14ac:dyDescent="0.3">
      <c r="B13" s="125"/>
      <c r="C13" s="126"/>
      <c r="D13" s="126"/>
      <c r="E13" s="126"/>
      <c r="F13" s="126"/>
      <c r="G13" s="126"/>
      <c r="H13" s="126"/>
      <c r="I13" s="126"/>
    </row>
    <row r="14" spans="1:12" ht="15.6" hidden="1" x14ac:dyDescent="0.3">
      <c r="B14" s="121"/>
      <c r="C14" s="127"/>
      <c r="D14" s="127"/>
      <c r="E14" s="127"/>
      <c r="F14" s="127"/>
      <c r="G14" s="127"/>
      <c r="H14" s="127"/>
      <c r="I14" s="127"/>
    </row>
    <row r="15" spans="1:12" ht="15.6" hidden="1" x14ac:dyDescent="0.3">
      <c r="B15" s="128"/>
      <c r="C15" s="127"/>
      <c r="D15" s="127"/>
      <c r="E15" s="127"/>
      <c r="F15" s="127"/>
      <c r="G15" s="127"/>
      <c r="H15" s="127"/>
      <c r="I15" s="127"/>
    </row>
    <row r="16" spans="1:12" ht="15.6" x14ac:dyDescent="0.3">
      <c r="B16" s="129" t="s">
        <v>530</v>
      </c>
      <c r="C16" s="130">
        <v>922680000</v>
      </c>
      <c r="D16" s="130"/>
      <c r="E16" s="130"/>
      <c r="F16" s="130"/>
      <c r="G16" s="130"/>
      <c r="H16" s="130"/>
      <c r="I16" s="131">
        <f>D16+E16+F16+G16+H16+C16</f>
        <v>922680000</v>
      </c>
    </row>
    <row r="17" spans="2:9" ht="15.6" hidden="1" x14ac:dyDescent="0.3">
      <c r="B17" s="132"/>
      <c r="C17" s="133"/>
      <c r="D17" s="133"/>
      <c r="E17" s="133"/>
      <c r="F17" s="133"/>
      <c r="G17" s="133"/>
      <c r="H17" s="133"/>
      <c r="I17" s="126"/>
    </row>
    <row r="18" spans="2:9" ht="15.6" hidden="1" x14ac:dyDescent="0.3">
      <c r="B18" s="134"/>
      <c r="C18" s="135"/>
      <c r="D18" s="135"/>
      <c r="E18" s="135"/>
      <c r="F18" s="135"/>
      <c r="G18" s="135"/>
      <c r="H18" s="135"/>
      <c r="I18" s="127"/>
    </row>
    <row r="19" spans="2:9" ht="15.6" hidden="1" x14ac:dyDescent="0.3">
      <c r="B19" s="136"/>
      <c r="C19" s="135"/>
      <c r="D19" s="135"/>
      <c r="E19" s="135"/>
      <c r="F19" s="135"/>
      <c r="G19" s="135"/>
      <c r="H19" s="135"/>
      <c r="I19" s="127"/>
    </row>
    <row r="20" spans="2:9" ht="15.6" hidden="1" x14ac:dyDescent="0.3">
      <c r="B20" s="134"/>
      <c r="C20" s="135"/>
      <c r="D20" s="135"/>
      <c r="E20" s="135"/>
      <c r="F20" s="135"/>
      <c r="G20" s="135"/>
      <c r="H20" s="135"/>
      <c r="I20" s="127"/>
    </row>
    <row r="21" spans="2:9" ht="15.75" hidden="1" customHeight="1" x14ac:dyDescent="0.3">
      <c r="B21" s="137"/>
      <c r="C21" s="138"/>
      <c r="D21" s="138"/>
      <c r="E21" s="138"/>
      <c r="F21" s="138"/>
      <c r="G21" s="138"/>
      <c r="H21" s="138"/>
      <c r="I21" s="127"/>
    </row>
    <row r="22" spans="2:9" ht="15.75" hidden="1" customHeight="1" x14ac:dyDescent="0.3">
      <c r="B22" s="134"/>
      <c r="C22" s="135"/>
      <c r="D22" s="135"/>
      <c r="E22" s="135"/>
      <c r="F22" s="135"/>
      <c r="G22" s="135"/>
      <c r="H22" s="135"/>
      <c r="I22" s="127"/>
    </row>
    <row r="23" spans="2:9" ht="15.75" hidden="1" customHeight="1" x14ac:dyDescent="0.3">
      <c r="B23" s="134"/>
      <c r="C23" s="135"/>
      <c r="D23" s="135"/>
      <c r="E23" s="135"/>
      <c r="F23" s="135"/>
      <c r="G23" s="135"/>
      <c r="H23" s="135"/>
      <c r="I23" s="127"/>
    </row>
    <row r="24" spans="2:9" ht="15.75" customHeight="1" x14ac:dyDescent="0.3">
      <c r="B24" s="139" t="s">
        <v>531</v>
      </c>
      <c r="C24" s="140">
        <v>1700000000</v>
      </c>
      <c r="D24" s="140"/>
      <c r="E24" s="140"/>
      <c r="F24" s="140"/>
      <c r="G24" s="140"/>
      <c r="H24" s="140"/>
      <c r="I24" s="127">
        <f t="shared" ref="I24:I25" si="0">C24+D24+E24+F24+G24+H24</f>
        <v>1700000000</v>
      </c>
    </row>
    <row r="25" spans="2:9" ht="15.75" customHeight="1" x14ac:dyDescent="0.3">
      <c r="B25" s="141" t="s">
        <v>532</v>
      </c>
      <c r="C25" s="142">
        <f t="shared" ref="C25:H25" si="1">C24-C16</f>
        <v>777320000</v>
      </c>
      <c r="D25" s="142">
        <f t="shared" si="1"/>
        <v>0</v>
      </c>
      <c r="E25" s="142">
        <f t="shared" si="1"/>
        <v>0</v>
      </c>
      <c r="F25" s="142">
        <f t="shared" si="1"/>
        <v>0</v>
      </c>
      <c r="G25" s="142">
        <f t="shared" si="1"/>
        <v>0</v>
      </c>
      <c r="H25" s="142">
        <f t="shared" si="1"/>
        <v>0</v>
      </c>
      <c r="I25" s="142">
        <f t="shared" si="0"/>
        <v>777320000</v>
      </c>
    </row>
    <row r="26" spans="2:9" ht="15.75" customHeight="1" x14ac:dyDescent="0.3">
      <c r="H26" s="143"/>
      <c r="I26" s="144"/>
    </row>
    <row r="27" spans="2:9" ht="15.75" customHeight="1" x14ac:dyDescent="0.3">
      <c r="B27" s="145" t="s">
        <v>533</v>
      </c>
      <c r="C27" s="146">
        <v>220440000</v>
      </c>
      <c r="D27" s="146"/>
      <c r="E27" s="146"/>
      <c r="F27" s="146"/>
      <c r="G27" s="146"/>
      <c r="H27" s="146"/>
      <c r="I27" s="147">
        <f t="shared" ref="I27:I28" si="2">C27+D27+E27+F27+G27+H27</f>
        <v>220440000</v>
      </c>
    </row>
    <row r="28" spans="2:9" ht="15.75" customHeight="1" x14ac:dyDescent="0.3">
      <c r="B28" s="148" t="s">
        <v>534</v>
      </c>
      <c r="C28" s="146">
        <v>300000000</v>
      </c>
      <c r="D28" s="146"/>
      <c r="E28" s="146"/>
      <c r="F28" s="146"/>
      <c r="G28" s="146"/>
      <c r="H28" s="146"/>
      <c r="I28" s="147">
        <f t="shared" si="2"/>
        <v>300000000</v>
      </c>
    </row>
    <row r="29" spans="2:9" ht="15.75" customHeight="1" x14ac:dyDescent="0.3"/>
    <row r="30" spans="2:9" ht="15.75" customHeight="1" x14ac:dyDescent="0.3"/>
    <row r="31" spans="2:9" ht="15.75" customHeight="1" x14ac:dyDescent="0.3"/>
    <row r="32" spans="2:9"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4">
    <mergeCell ref="C2:D2"/>
    <mergeCell ref="C3:F3"/>
    <mergeCell ref="B7:C7"/>
    <mergeCell ref="B12:I12"/>
  </mergeCells>
  <pageMargins left="0.47244094488188981" right="0.47244094488188981" top="0.74803149606299213" bottom="0.74803149606299213" header="0" footer="0"/>
  <pageSetup scale="75" orientation="landscape"/>
  <headerFooter>
    <oddFooter>&amp;LGrille d’analyse de crédit agricole développé par DID&amp;C_x000D_#000000 Usage Interne</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B2:O100"/>
  <sheetViews>
    <sheetView showGridLines="0" topLeftCell="A43" workbookViewId="0">
      <selection activeCell="J21" sqref="J21"/>
    </sheetView>
  </sheetViews>
  <sheetFormatPr baseColWidth="10" defaultColWidth="14.44140625" defaultRowHeight="15" customHeight="1" x14ac:dyDescent="0.3"/>
  <cols>
    <col min="1" max="1" width="11.44140625" customWidth="1"/>
    <col min="2" max="2" width="4.109375" customWidth="1"/>
    <col min="3" max="3" width="26.44140625" customWidth="1"/>
    <col min="4" max="4" width="8.88671875" customWidth="1"/>
    <col min="5" max="5" width="8.44140625" customWidth="1"/>
    <col min="6" max="6" width="3.44140625" customWidth="1"/>
    <col min="7" max="7" width="9.5546875" customWidth="1"/>
    <col min="8" max="8" width="3.88671875" customWidth="1"/>
    <col min="9" max="9" width="19.88671875" customWidth="1"/>
    <col min="10" max="10" width="17.5546875" customWidth="1"/>
    <col min="11" max="11" width="18.44140625" customWidth="1"/>
    <col min="12" max="12" width="17.5546875" customWidth="1"/>
    <col min="13" max="13" width="6.88671875" customWidth="1"/>
    <col min="14" max="16" width="11.44140625" customWidth="1"/>
  </cols>
  <sheetData>
    <row r="2" spans="2:15" ht="19.5" customHeight="1" x14ac:dyDescent="0.35">
      <c r="B2" s="509" t="s">
        <v>535</v>
      </c>
      <c r="C2" s="399"/>
      <c r="D2" s="487" t="str">
        <f>'1. DEMANDE'!H15</f>
        <v>MARIAMA KABA</v>
      </c>
      <c r="E2" s="382"/>
      <c r="F2" s="382"/>
      <c r="G2" s="382"/>
      <c r="H2" s="382"/>
      <c r="I2" s="383"/>
      <c r="J2" s="65" t="s">
        <v>429</v>
      </c>
      <c r="K2" s="150" t="str">
        <f>'1. DEMANDE'!AD5</f>
        <v>FORECARIAH</v>
      </c>
      <c r="M2" s="151"/>
      <c r="N2" s="151"/>
      <c r="O2" s="152"/>
    </row>
    <row r="3" spans="2:15" ht="9" customHeight="1" x14ac:dyDescent="0.35">
      <c r="B3" s="73"/>
      <c r="C3" s="73"/>
      <c r="D3" s="73"/>
      <c r="E3" s="73"/>
      <c r="F3" s="73"/>
      <c r="G3" s="73"/>
      <c r="H3" s="73"/>
      <c r="I3" s="73"/>
      <c r="J3" s="73"/>
      <c r="K3" s="73"/>
      <c r="L3" s="73"/>
      <c r="M3" s="151"/>
      <c r="N3" s="151"/>
      <c r="O3" s="152"/>
    </row>
    <row r="4" spans="2:15" ht="19.5" customHeight="1" x14ac:dyDescent="0.3">
      <c r="B4" s="509" t="s">
        <v>536</v>
      </c>
      <c r="C4" s="399"/>
      <c r="D4" s="507">
        <f>'1. DEMANDE'!AH15</f>
        <v>10300181501</v>
      </c>
      <c r="E4" s="382"/>
      <c r="F4" s="383"/>
      <c r="G4" s="57"/>
      <c r="H4" s="474" t="s">
        <v>433</v>
      </c>
      <c r="I4" s="399"/>
      <c r="J4" s="511" t="str">
        <f>'1. DEMANDE'!AD7</f>
        <v>MOHAMED MMAH CAMARA</v>
      </c>
      <c r="K4" s="383"/>
    </row>
    <row r="5" spans="2:15" ht="10.5" customHeight="1" x14ac:dyDescent="0.3">
      <c r="H5" s="153"/>
      <c r="I5" s="153"/>
      <c r="K5" s="112"/>
    </row>
    <row r="6" spans="2:15" ht="19.5" customHeight="1" x14ac:dyDescent="0.3">
      <c r="H6" s="153"/>
      <c r="I6" s="65" t="s">
        <v>515</v>
      </c>
      <c r="J6" s="154">
        <f>'2. PROD'!C5</f>
        <v>46093</v>
      </c>
    </row>
    <row r="7" spans="2:15" ht="12" customHeight="1" x14ac:dyDescent="0.3">
      <c r="I7" s="60"/>
      <c r="J7" s="60"/>
    </row>
    <row r="8" spans="2:15" ht="19.5" customHeight="1" x14ac:dyDescent="0.35">
      <c r="B8" s="155" t="s">
        <v>537</v>
      </c>
      <c r="C8" s="155" t="s">
        <v>538</v>
      </c>
      <c r="D8" s="156"/>
      <c r="E8" s="156"/>
      <c r="F8" s="156"/>
      <c r="G8" s="156"/>
      <c r="H8" s="156"/>
      <c r="I8" s="156"/>
      <c r="J8" s="156"/>
      <c r="K8" s="156"/>
    </row>
    <row r="9" spans="2:15" ht="7.5" customHeight="1" x14ac:dyDescent="0.3">
      <c r="B9" s="157"/>
      <c r="C9" s="157"/>
      <c r="D9" s="157"/>
      <c r="E9" s="157"/>
      <c r="F9" s="157"/>
      <c r="G9" s="157"/>
      <c r="H9" s="157"/>
      <c r="I9" s="157"/>
      <c r="J9" s="157"/>
      <c r="K9" s="157"/>
      <c r="L9" s="157"/>
    </row>
    <row r="10" spans="2:15" ht="15.75" customHeight="1" x14ac:dyDescent="0.3">
      <c r="B10" s="493"/>
      <c r="C10" s="495" t="s">
        <v>539</v>
      </c>
      <c r="D10" s="464"/>
      <c r="E10" s="464"/>
      <c r="F10" s="464"/>
      <c r="G10" s="464"/>
      <c r="H10" s="496"/>
      <c r="I10" s="158" t="s">
        <v>540</v>
      </c>
      <c r="J10" s="158" t="s">
        <v>541</v>
      </c>
      <c r="K10" s="159" t="s">
        <v>542</v>
      </c>
    </row>
    <row r="11" spans="2:15" ht="14.4" x14ac:dyDescent="0.3">
      <c r="B11" s="494"/>
      <c r="C11" s="497"/>
      <c r="D11" s="469"/>
      <c r="E11" s="469"/>
      <c r="F11" s="469"/>
      <c r="G11" s="469"/>
      <c r="H11" s="498"/>
      <c r="I11" s="160"/>
      <c r="J11" s="160"/>
      <c r="K11" s="161"/>
    </row>
    <row r="12" spans="2:15" ht="4.5" customHeight="1" x14ac:dyDescent="0.3">
      <c r="B12" s="162"/>
      <c r="C12" s="163"/>
      <c r="D12" s="163"/>
      <c r="E12" s="163"/>
      <c r="F12" s="163"/>
      <c r="G12" s="163"/>
      <c r="H12" s="163"/>
      <c r="I12" s="86"/>
      <c r="J12" s="86"/>
      <c r="K12" s="164"/>
    </row>
    <row r="13" spans="2:15" ht="17.399999999999999" x14ac:dyDescent="0.3">
      <c r="B13" s="165">
        <v>1</v>
      </c>
      <c r="C13" s="492" t="s">
        <v>543</v>
      </c>
      <c r="D13" s="407"/>
      <c r="E13" s="407"/>
      <c r="F13" s="407"/>
      <c r="G13" s="407"/>
      <c r="H13" s="408"/>
      <c r="I13" s="166">
        <v>30000000</v>
      </c>
      <c r="J13" s="166">
        <v>15000000</v>
      </c>
      <c r="K13" s="167"/>
    </row>
    <row r="14" spans="2:15" ht="17.399999999999999" x14ac:dyDescent="0.3">
      <c r="B14" s="165">
        <v>2</v>
      </c>
      <c r="C14" s="492" t="str">
        <f>IF('1. DEMANDE'!G30="","Inventaires (stocks de produits /intrants/etc.)",IF('1. DEMANDE'!G30="AGRICULTURE","Inventaires (stocks de produits /intrants/etc.)","Inventaires (stocks de marchandises/produits, etc.)"))</f>
        <v>Inventaires (stocks de produits /intrants/etc.)</v>
      </c>
      <c r="D14" s="407"/>
      <c r="E14" s="407"/>
      <c r="F14" s="407"/>
      <c r="G14" s="407"/>
      <c r="H14" s="408"/>
      <c r="I14" s="166">
        <v>20000000</v>
      </c>
      <c r="J14" s="166">
        <v>10000000</v>
      </c>
      <c r="K14" s="167"/>
    </row>
    <row r="15" spans="2:15" ht="17.399999999999999" x14ac:dyDescent="0.3">
      <c r="B15" s="165">
        <v>3</v>
      </c>
      <c r="C15" s="492" t="s">
        <v>544</v>
      </c>
      <c r="D15" s="407"/>
      <c r="E15" s="407"/>
      <c r="F15" s="407"/>
      <c r="G15" s="407"/>
      <c r="H15" s="408"/>
      <c r="I15" s="166"/>
      <c r="J15" s="166"/>
      <c r="K15" s="167"/>
    </row>
    <row r="16" spans="2:15" ht="17.399999999999999" x14ac:dyDescent="0.3">
      <c r="B16" s="165">
        <v>4</v>
      </c>
      <c r="C16" s="492" t="s">
        <v>545</v>
      </c>
      <c r="D16" s="407"/>
      <c r="E16" s="407"/>
      <c r="F16" s="407"/>
      <c r="G16" s="407"/>
      <c r="H16" s="408"/>
      <c r="I16" s="166">
        <v>6000000</v>
      </c>
      <c r="J16" s="166">
        <v>3000000</v>
      </c>
      <c r="K16" s="167"/>
    </row>
    <row r="17" spans="2:11" ht="17.399999999999999" x14ac:dyDescent="0.3">
      <c r="B17" s="165">
        <v>5</v>
      </c>
      <c r="C17" s="510" t="s">
        <v>546</v>
      </c>
      <c r="D17" s="407"/>
      <c r="E17" s="407"/>
      <c r="F17" s="407"/>
      <c r="G17" s="407"/>
      <c r="H17" s="408"/>
      <c r="I17" s="168">
        <f t="shared" ref="I17:J17" si="0">SUM(I13:I16)</f>
        <v>56000000</v>
      </c>
      <c r="J17" s="168">
        <f t="shared" si="0"/>
        <v>28000000</v>
      </c>
      <c r="K17" s="169"/>
    </row>
    <row r="18" spans="2:11" ht="17.399999999999999" x14ac:dyDescent="0.3">
      <c r="B18" s="165">
        <v>6</v>
      </c>
      <c r="C18" s="492" t="str">
        <f>IF('1. DEMANDE'!G30="","Terrains (terres cultivables)",IF('1. DEMANDE'!G30="AGRICULTURE","Terrains (terres cultivables)","Terrains"))</f>
        <v>Terrains (terres cultivables)</v>
      </c>
      <c r="D18" s="407"/>
      <c r="E18" s="407"/>
      <c r="F18" s="407"/>
      <c r="G18" s="407"/>
      <c r="H18" s="408"/>
      <c r="I18" s="166">
        <v>600000000</v>
      </c>
      <c r="J18" s="166">
        <v>300000000</v>
      </c>
      <c r="K18" s="167"/>
    </row>
    <row r="19" spans="2:11" ht="17.399999999999999" x14ac:dyDescent="0.3">
      <c r="B19" s="165">
        <v>7</v>
      </c>
      <c r="C19" s="492" t="s">
        <v>547</v>
      </c>
      <c r="D19" s="407"/>
      <c r="E19" s="407"/>
      <c r="F19" s="407"/>
      <c r="G19" s="407"/>
      <c r="H19" s="408"/>
      <c r="I19" s="166">
        <v>500000000</v>
      </c>
      <c r="J19" s="166">
        <v>250000000</v>
      </c>
      <c r="K19" s="167"/>
    </row>
    <row r="20" spans="2:11" ht="17.399999999999999" x14ac:dyDescent="0.3">
      <c r="B20" s="165">
        <v>8</v>
      </c>
      <c r="C20" s="492" t="str">
        <f>IF('1. DEMANDE'!G30="","Moyens de transport (Véhicules, motos, charrettes, etc.)",IF('1. DEMANDE'!G30="AGRICULTURE","Moyens de transport (Véhicules, motos, charrettes, etc.)","Moyens de transport (Véhicules, motos, etc.)"))</f>
        <v>Moyens de transport (Véhicules, motos, charrettes, etc.)</v>
      </c>
      <c r="D20" s="407"/>
      <c r="E20" s="407"/>
      <c r="F20" s="407"/>
      <c r="G20" s="407"/>
      <c r="H20" s="408"/>
      <c r="I20" s="166">
        <v>7000000</v>
      </c>
      <c r="J20" s="166">
        <v>6500000</v>
      </c>
      <c r="K20" s="167"/>
    </row>
    <row r="21" spans="2:11" ht="15.75" customHeight="1" x14ac:dyDescent="0.3">
      <c r="B21" s="165">
        <v>9</v>
      </c>
      <c r="C21" s="492" t="str">
        <f>IF('1. DEMANDE'!G30="","Équipements (charrue, tracteur et autres)",IF('1. DEMANDE'!G30="AGRICULTURE","Équipements (charrue, tracteur et autres)","Équipements et autres"))</f>
        <v>Équipements (charrue, tracteur et autres)</v>
      </c>
      <c r="D21" s="407"/>
      <c r="E21" s="407"/>
      <c r="F21" s="407"/>
      <c r="G21" s="407"/>
      <c r="H21" s="408"/>
      <c r="I21" s="166"/>
      <c r="J21" s="166"/>
      <c r="K21" s="167"/>
    </row>
    <row r="22" spans="2:11" ht="15.75" customHeight="1" x14ac:dyDescent="0.3">
      <c r="B22" s="165">
        <v>10</v>
      </c>
      <c r="C22" s="492" t="str">
        <f>IF('1. DEMANDE'!G30="","Autres (animaux de trait)",IF('1. DEMANDE'!G30="AGRICULTURE","Autres (animaux de trait)","Matériels et mobiliers"))</f>
        <v>Autres (animaux de trait)</v>
      </c>
      <c r="D22" s="407"/>
      <c r="E22" s="407"/>
      <c r="F22" s="407"/>
      <c r="G22" s="407"/>
      <c r="H22" s="408"/>
      <c r="I22" s="166">
        <v>30000000</v>
      </c>
      <c r="J22" s="166">
        <v>15000000</v>
      </c>
      <c r="K22" s="167"/>
    </row>
    <row r="23" spans="2:11" ht="15.75" customHeight="1" x14ac:dyDescent="0.3">
      <c r="B23" s="165">
        <v>11</v>
      </c>
      <c r="C23" s="492" t="s">
        <v>548</v>
      </c>
      <c r="D23" s="407"/>
      <c r="E23" s="407"/>
      <c r="F23" s="407"/>
      <c r="G23" s="407"/>
      <c r="H23" s="408"/>
      <c r="I23" s="166"/>
      <c r="J23" s="166"/>
      <c r="K23" s="167"/>
    </row>
    <row r="24" spans="2:11" ht="15.75" customHeight="1" x14ac:dyDescent="0.3">
      <c r="B24" s="165">
        <v>12</v>
      </c>
      <c r="C24" s="510" t="s">
        <v>549</v>
      </c>
      <c r="D24" s="407"/>
      <c r="E24" s="407"/>
      <c r="F24" s="407"/>
      <c r="G24" s="407"/>
      <c r="H24" s="408"/>
      <c r="I24" s="168">
        <f t="shared" ref="I24:J24" si="1">SUM(I18:I23)</f>
        <v>1137000000</v>
      </c>
      <c r="J24" s="168">
        <f t="shared" si="1"/>
        <v>571500000</v>
      </c>
      <c r="K24" s="169"/>
    </row>
    <row r="25" spans="2:11" ht="4.5" customHeight="1" x14ac:dyDescent="0.3">
      <c r="B25" s="170"/>
      <c r="C25" s="171"/>
      <c r="D25" s="171"/>
      <c r="E25" s="171"/>
      <c r="F25" s="85"/>
      <c r="G25" s="85"/>
      <c r="H25" s="85"/>
      <c r="I25" s="172"/>
      <c r="J25" s="172"/>
      <c r="K25" s="173"/>
    </row>
    <row r="26" spans="2:11" ht="18" customHeight="1" x14ac:dyDescent="0.3">
      <c r="B26" s="165">
        <v>13</v>
      </c>
      <c r="C26" s="510" t="s">
        <v>550</v>
      </c>
      <c r="D26" s="407"/>
      <c r="E26" s="407"/>
      <c r="F26" s="407"/>
      <c r="G26" s="407"/>
      <c r="H26" s="408"/>
      <c r="I26" s="168">
        <f t="shared" ref="I26:J26" si="2">I17+I24</f>
        <v>1193000000</v>
      </c>
      <c r="J26" s="168">
        <f t="shared" si="2"/>
        <v>599500000</v>
      </c>
      <c r="K26" s="169"/>
    </row>
    <row r="27" spans="2:11" ht="4.5" customHeight="1" x14ac:dyDescent="0.3">
      <c r="B27" s="170"/>
      <c r="C27" s="171"/>
      <c r="D27" s="171"/>
      <c r="E27" s="171"/>
      <c r="F27" s="85"/>
      <c r="G27" s="85"/>
      <c r="H27" s="85"/>
      <c r="I27" s="95"/>
      <c r="J27" s="95"/>
      <c r="K27" s="174"/>
    </row>
    <row r="28" spans="2:11" ht="15.75" customHeight="1" x14ac:dyDescent="0.3">
      <c r="B28" s="165">
        <v>14</v>
      </c>
      <c r="C28" s="492" t="s">
        <v>551</v>
      </c>
      <c r="D28" s="407"/>
      <c r="E28" s="407"/>
      <c r="F28" s="407"/>
      <c r="G28" s="407"/>
      <c r="H28" s="408"/>
      <c r="I28" s="166">
        <v>20000000</v>
      </c>
      <c r="J28" s="166">
        <v>10000000</v>
      </c>
      <c r="K28" s="167"/>
    </row>
    <row r="29" spans="2:11" ht="15.75" customHeight="1" x14ac:dyDescent="0.3">
      <c r="B29" s="165">
        <v>15</v>
      </c>
      <c r="C29" s="492" t="s">
        <v>552</v>
      </c>
      <c r="D29" s="407"/>
      <c r="E29" s="407"/>
      <c r="F29" s="407"/>
      <c r="G29" s="407"/>
      <c r="H29" s="408"/>
      <c r="I29" s="166"/>
      <c r="J29" s="166"/>
      <c r="K29" s="167"/>
    </row>
    <row r="30" spans="2:11" ht="15.75" customHeight="1" x14ac:dyDescent="0.3">
      <c r="B30" s="165">
        <v>16</v>
      </c>
      <c r="C30" s="492" t="s">
        <v>553</v>
      </c>
      <c r="D30" s="407"/>
      <c r="E30" s="407"/>
      <c r="F30" s="407"/>
      <c r="G30" s="407"/>
      <c r="H30" s="408"/>
      <c r="I30" s="166"/>
      <c r="J30" s="166"/>
      <c r="K30" s="167"/>
    </row>
    <row r="31" spans="2:11" ht="15.75" customHeight="1" x14ac:dyDescent="0.3">
      <c r="B31" s="165">
        <v>17</v>
      </c>
      <c r="C31" s="492" t="s">
        <v>554</v>
      </c>
      <c r="D31" s="407"/>
      <c r="E31" s="407"/>
      <c r="F31" s="407"/>
      <c r="G31" s="407"/>
      <c r="H31" s="408"/>
      <c r="I31" s="166">
        <v>0</v>
      </c>
      <c r="J31" s="166"/>
      <c r="K31" s="167"/>
    </row>
    <row r="32" spans="2:11" ht="15.75" customHeight="1" x14ac:dyDescent="0.3">
      <c r="B32" s="165">
        <v>18</v>
      </c>
      <c r="C32" s="510" t="s">
        <v>555</v>
      </c>
      <c r="D32" s="407"/>
      <c r="E32" s="407"/>
      <c r="F32" s="407"/>
      <c r="G32" s="407"/>
      <c r="H32" s="408"/>
      <c r="I32" s="168">
        <f t="shared" ref="I32:J32" si="3">SUM(I28:I31)</f>
        <v>20000000</v>
      </c>
      <c r="J32" s="168">
        <f t="shared" si="3"/>
        <v>10000000</v>
      </c>
      <c r="K32" s="175"/>
    </row>
    <row r="33" spans="2:12" ht="15.75" customHeight="1" x14ac:dyDescent="0.3">
      <c r="B33" s="165">
        <v>19</v>
      </c>
      <c r="C33" s="512" t="s">
        <v>556</v>
      </c>
      <c r="D33" s="407"/>
      <c r="E33" s="407"/>
      <c r="F33" s="407"/>
      <c r="G33" s="407"/>
      <c r="H33" s="408"/>
      <c r="I33" s="166">
        <v>0</v>
      </c>
      <c r="J33" s="166"/>
      <c r="K33" s="167"/>
    </row>
    <row r="34" spans="2:12" ht="4.5" customHeight="1" x14ac:dyDescent="0.3">
      <c r="B34" s="170"/>
      <c r="C34" s="89"/>
      <c r="D34" s="89"/>
      <c r="E34" s="89"/>
      <c r="F34" s="176"/>
      <c r="G34" s="176"/>
      <c r="H34" s="176"/>
      <c r="I34" s="95"/>
      <c r="J34" s="95"/>
      <c r="K34" s="174"/>
    </row>
    <row r="35" spans="2:12" ht="15.75" customHeight="1" x14ac:dyDescent="0.3">
      <c r="B35" s="165">
        <v>20</v>
      </c>
      <c r="C35" s="510" t="s">
        <v>557</v>
      </c>
      <c r="D35" s="407"/>
      <c r="E35" s="407"/>
      <c r="F35" s="407"/>
      <c r="G35" s="407"/>
      <c r="H35" s="408"/>
      <c r="I35" s="168">
        <f>SUM(I32:I33)</f>
        <v>20000000</v>
      </c>
      <c r="J35" s="168">
        <f>J32+J33</f>
        <v>10000000</v>
      </c>
      <c r="K35" s="175"/>
    </row>
    <row r="36" spans="2:12" ht="4.5" customHeight="1" x14ac:dyDescent="0.3">
      <c r="B36" s="170"/>
      <c r="C36" s="171"/>
      <c r="D36" s="171"/>
      <c r="E36" s="171"/>
      <c r="F36" s="85"/>
      <c r="G36" s="85"/>
      <c r="H36" s="85"/>
      <c r="I36" s="95"/>
      <c r="J36" s="95"/>
      <c r="K36" s="174"/>
    </row>
    <row r="37" spans="2:12" ht="19.5" customHeight="1" x14ac:dyDescent="0.3">
      <c r="B37" s="165">
        <v>21</v>
      </c>
      <c r="C37" s="510" t="s">
        <v>558</v>
      </c>
      <c r="D37" s="407"/>
      <c r="E37" s="407"/>
      <c r="F37" s="407"/>
      <c r="G37" s="407"/>
      <c r="H37" s="408"/>
      <c r="I37" s="168">
        <f t="shared" ref="I37:J37" si="4">I26-I35</f>
        <v>1173000000</v>
      </c>
      <c r="J37" s="168">
        <f t="shared" si="4"/>
        <v>589500000</v>
      </c>
      <c r="K37" s="175"/>
    </row>
    <row r="38" spans="2:12" ht="4.5" customHeight="1" x14ac:dyDescent="0.3">
      <c r="B38" s="177"/>
      <c r="C38" s="89"/>
      <c r="D38" s="89"/>
      <c r="E38" s="89"/>
      <c r="F38" s="176"/>
      <c r="G38" s="176"/>
      <c r="H38" s="176"/>
      <c r="I38" s="90"/>
      <c r="J38" s="90"/>
      <c r="K38" s="178"/>
    </row>
    <row r="39" spans="2:12" ht="14.25" customHeight="1" x14ac:dyDescent="0.3">
      <c r="B39" s="170">
        <v>22</v>
      </c>
      <c r="C39" s="510" t="s">
        <v>559</v>
      </c>
      <c r="D39" s="407"/>
      <c r="E39" s="407"/>
      <c r="F39" s="407"/>
      <c r="G39" s="407"/>
      <c r="H39" s="408"/>
      <c r="I39" s="168">
        <f t="shared" ref="I39:J39" si="5">I26</f>
        <v>1193000000</v>
      </c>
      <c r="J39" s="168">
        <f t="shared" si="5"/>
        <v>599500000</v>
      </c>
      <c r="K39" s="179"/>
    </row>
    <row r="40" spans="2:12" ht="4.5" customHeight="1" x14ac:dyDescent="0.3">
      <c r="B40" s="177"/>
      <c r="C40" s="89"/>
      <c r="D40" s="89"/>
      <c r="E40" s="89"/>
      <c r="F40" s="176"/>
      <c r="G40" s="176"/>
      <c r="H40" s="176"/>
      <c r="I40" s="90"/>
      <c r="J40" s="90"/>
      <c r="K40" s="178"/>
    </row>
    <row r="41" spans="2:12" ht="15.75" customHeight="1" x14ac:dyDescent="0.3">
      <c r="B41" s="165">
        <v>23</v>
      </c>
      <c r="C41" s="508" t="s">
        <v>560</v>
      </c>
      <c r="D41" s="407"/>
      <c r="E41" s="407"/>
      <c r="F41" s="407"/>
      <c r="G41" s="407"/>
      <c r="H41" s="408"/>
      <c r="I41" s="180">
        <f t="shared" ref="I41:J41" si="6">I17-I32</f>
        <v>36000000</v>
      </c>
      <c r="J41" s="180">
        <f t="shared" si="6"/>
        <v>18000000</v>
      </c>
      <c r="K41" s="175"/>
    </row>
    <row r="42" spans="2:12" ht="15.75" customHeight="1" x14ac:dyDescent="0.3">
      <c r="B42" s="181">
        <v>24</v>
      </c>
      <c r="C42" s="501" t="s">
        <v>561</v>
      </c>
      <c r="D42" s="502"/>
      <c r="E42" s="502"/>
      <c r="F42" s="502"/>
      <c r="G42" s="502"/>
      <c r="H42" s="503"/>
      <c r="I42" s="182">
        <f t="shared" ref="I42:J42" si="7">I41-I13</f>
        <v>6000000</v>
      </c>
      <c r="J42" s="182">
        <f t="shared" si="7"/>
        <v>3000000</v>
      </c>
      <c r="K42" s="183"/>
    </row>
    <row r="43" spans="2:12" ht="17.399999999999999" x14ac:dyDescent="0.3">
      <c r="B43" s="86"/>
      <c r="C43" s="171"/>
      <c r="D43" s="171"/>
      <c r="E43" s="171"/>
      <c r="F43" s="171"/>
      <c r="G43" s="184"/>
      <c r="H43" s="184"/>
      <c r="I43" s="185"/>
      <c r="J43" s="185"/>
      <c r="K43" s="186"/>
    </row>
    <row r="44" spans="2:12" ht="19.5" customHeight="1" x14ac:dyDescent="0.3">
      <c r="B44" s="187" t="s">
        <v>562</v>
      </c>
      <c r="C44" s="506" t="s">
        <v>563</v>
      </c>
      <c r="D44" s="382"/>
      <c r="E44" s="382"/>
      <c r="F44" s="383"/>
      <c r="G44" s="188"/>
      <c r="H44" s="188"/>
      <c r="I44" s="188"/>
      <c r="J44" s="188"/>
      <c r="K44" s="188"/>
      <c r="L44" s="189"/>
    </row>
    <row r="45" spans="2:12" ht="6" customHeight="1" x14ac:dyDescent="0.3">
      <c r="B45" s="186"/>
      <c r="C45" s="186"/>
      <c r="D45" s="186"/>
      <c r="E45" s="186"/>
      <c r="F45" s="186"/>
      <c r="G45" s="186"/>
      <c r="H45" s="186"/>
      <c r="I45" s="186"/>
      <c r="J45" s="186"/>
      <c r="K45" s="186"/>
      <c r="L45" s="186"/>
    </row>
    <row r="46" spans="2:12" ht="19.5" customHeight="1" x14ac:dyDescent="0.3">
      <c r="B46" s="190"/>
      <c r="C46" s="504" t="s">
        <v>564</v>
      </c>
      <c r="D46" s="407"/>
      <c r="E46" s="407"/>
      <c r="F46" s="407"/>
      <c r="G46" s="407"/>
      <c r="H46" s="407"/>
      <c r="I46" s="408"/>
      <c r="J46" s="191" t="s">
        <v>565</v>
      </c>
      <c r="K46" s="191" t="s">
        <v>542</v>
      </c>
      <c r="L46" s="163"/>
    </row>
    <row r="47" spans="2:12" ht="15.75" customHeight="1" x14ac:dyDescent="0.3">
      <c r="B47" s="192">
        <v>25</v>
      </c>
      <c r="C47" s="490" t="str">
        <f>IF('1. DEMANDE'!G30="","Besoins d’investissement (machine, tracteur, matériel, etc.)",IF('1. DEMANDE'!G30="AGRICULTURE","Besoins d’investissement (machine, tracteur, matériel, etc.)","Besoins d’investissement (machine et autre équipement, etc.)"))</f>
        <v>Besoins d’investissement (machine, tracteur, matériel, etc.)</v>
      </c>
      <c r="D47" s="407"/>
      <c r="E47" s="407"/>
      <c r="F47" s="407"/>
      <c r="G47" s="407"/>
      <c r="H47" s="407"/>
      <c r="I47" s="408"/>
      <c r="J47" s="193">
        <v>526700000</v>
      </c>
      <c r="K47" s="194" t="s">
        <v>566</v>
      </c>
    </row>
    <row r="48" spans="2:12" ht="15.75" customHeight="1" x14ac:dyDescent="0.3">
      <c r="B48" s="192">
        <v>26</v>
      </c>
      <c r="C48" s="490" t="s">
        <v>567</v>
      </c>
      <c r="D48" s="407"/>
      <c r="E48" s="407"/>
      <c r="F48" s="407"/>
      <c r="G48" s="407"/>
      <c r="H48" s="407"/>
      <c r="I48" s="408"/>
      <c r="J48" s="193">
        <v>395980000</v>
      </c>
      <c r="K48" s="194" t="s">
        <v>568</v>
      </c>
    </row>
    <row r="49" spans="2:11" ht="15.75" customHeight="1" x14ac:dyDescent="0.3">
      <c r="B49" s="192">
        <v>27</v>
      </c>
      <c r="C49" s="499" t="s">
        <v>569</v>
      </c>
      <c r="D49" s="483"/>
      <c r="E49" s="483"/>
      <c r="F49" s="483"/>
      <c r="G49" s="483"/>
      <c r="H49" s="483"/>
      <c r="I49" s="500"/>
      <c r="J49" s="193"/>
      <c r="K49" s="194"/>
    </row>
    <row r="50" spans="2:11" ht="15.75" customHeight="1" x14ac:dyDescent="0.35">
      <c r="B50" s="192">
        <v>28</v>
      </c>
      <c r="C50" s="491" t="s">
        <v>570</v>
      </c>
      <c r="D50" s="407"/>
      <c r="E50" s="407"/>
      <c r="F50" s="407"/>
      <c r="G50" s="407"/>
      <c r="H50" s="407"/>
      <c r="I50" s="195" t="str">
        <f>IF(J50&lt;0,"Attention/Erreur","")</f>
        <v/>
      </c>
      <c r="J50" s="196">
        <f>J47+J48-J49</f>
        <v>922680000</v>
      </c>
      <c r="K50" s="194"/>
    </row>
    <row r="51" spans="2:11" ht="11.25" customHeight="1" x14ac:dyDescent="0.35">
      <c r="B51" s="72"/>
      <c r="C51" s="61"/>
      <c r="D51" s="61"/>
      <c r="E51" s="61"/>
      <c r="F51" s="61"/>
      <c r="G51" s="61"/>
      <c r="H51" s="61"/>
      <c r="I51" s="61"/>
      <c r="J51" s="83"/>
      <c r="K51" s="88"/>
    </row>
    <row r="52" spans="2:11" ht="15.75" customHeight="1" x14ac:dyDescent="0.35">
      <c r="B52" s="197"/>
      <c r="C52" s="491" t="s">
        <v>571</v>
      </c>
      <c r="D52" s="407"/>
      <c r="E52" s="407"/>
      <c r="F52" s="407"/>
      <c r="G52" s="407"/>
      <c r="H52" s="407"/>
      <c r="I52" s="408"/>
      <c r="J52" s="191" t="s">
        <v>565</v>
      </c>
      <c r="K52" s="191" t="s">
        <v>542</v>
      </c>
    </row>
    <row r="53" spans="2:11" ht="15.75" customHeight="1" x14ac:dyDescent="0.3">
      <c r="B53" s="192">
        <v>29</v>
      </c>
      <c r="C53" s="490" t="str">
        <f>IF('1. DEMANDE'!G30="","Besoins pour tout le cycle (Coût de production + autres charges d'exploitation)",IF('1. DEMANDE'!G30="AGRICULTURE","Besoins pour tout le cycle (Coût de production + autres charges d'exploitation)","Besoins pour tout le cycle d'activité"))</f>
        <v>Besoins pour tout le cycle (Coût de production + autres charges d'exploitation)</v>
      </c>
      <c r="D53" s="407"/>
      <c r="E53" s="407"/>
      <c r="F53" s="407"/>
      <c r="G53" s="407"/>
      <c r="H53" s="407"/>
      <c r="I53" s="408"/>
      <c r="J53" s="198">
        <f>'5. RESULTAT'!K27</f>
        <v>922680000</v>
      </c>
      <c r="K53" s="194"/>
    </row>
    <row r="54" spans="2:11" ht="15.75" customHeight="1" x14ac:dyDescent="0.3">
      <c r="B54" s="192">
        <v>30</v>
      </c>
      <c r="C54" s="490" t="str">
        <f>IF('1. DEMANDE'!G30="","Trésorerie disponible pour l'activité de production",IF('1. DEMANDE'!G30="AGRICULTURE","Trésorerie disponible pour l'activité de production","Trésorerie disponible pour l'activité"))</f>
        <v>Trésorerie disponible pour l'activité de production</v>
      </c>
      <c r="D54" s="407"/>
      <c r="E54" s="407"/>
      <c r="F54" s="407"/>
      <c r="G54" s="407"/>
      <c r="H54" s="407"/>
      <c r="I54" s="408"/>
      <c r="J54" s="193"/>
      <c r="K54" s="194"/>
    </row>
    <row r="55" spans="2:11" ht="15.75" customHeight="1" x14ac:dyDescent="0.3">
      <c r="B55" s="192">
        <v>31</v>
      </c>
      <c r="C55" s="490" t="s">
        <v>572</v>
      </c>
      <c r="D55" s="407"/>
      <c r="E55" s="407"/>
      <c r="F55" s="407"/>
      <c r="G55" s="407"/>
      <c r="H55" s="407"/>
      <c r="I55" s="408"/>
      <c r="J55" s="198">
        <f>I14</f>
        <v>20000000</v>
      </c>
      <c r="K55" s="194"/>
    </row>
    <row r="56" spans="2:11" ht="15.75" customHeight="1" x14ac:dyDescent="0.3">
      <c r="B56" s="192">
        <v>32</v>
      </c>
      <c r="C56" s="490" t="s">
        <v>573</v>
      </c>
      <c r="D56" s="407"/>
      <c r="E56" s="407"/>
      <c r="F56" s="407"/>
      <c r="G56" s="407"/>
      <c r="H56" s="407"/>
      <c r="I56" s="408"/>
      <c r="J56" s="198">
        <f>I15+I16</f>
        <v>6000000</v>
      </c>
      <c r="K56" s="194"/>
    </row>
    <row r="57" spans="2:11" ht="15.75" customHeight="1" x14ac:dyDescent="0.3">
      <c r="B57" s="192">
        <v>33</v>
      </c>
      <c r="C57" s="490" t="s">
        <v>574</v>
      </c>
      <c r="D57" s="407"/>
      <c r="E57" s="407"/>
      <c r="F57" s="407"/>
      <c r="G57" s="407"/>
      <c r="H57" s="407"/>
      <c r="I57" s="408"/>
      <c r="J57" s="198">
        <f>I32</f>
        <v>20000000</v>
      </c>
      <c r="K57" s="194"/>
    </row>
    <row r="58" spans="2:11" ht="15.75" customHeight="1" x14ac:dyDescent="0.3">
      <c r="B58" s="192">
        <v>34</v>
      </c>
      <c r="C58" s="490" t="s">
        <v>575</v>
      </c>
      <c r="D58" s="407"/>
      <c r="E58" s="407"/>
      <c r="F58" s="407"/>
      <c r="G58" s="407"/>
      <c r="H58" s="407"/>
      <c r="I58" s="408"/>
      <c r="J58" s="193"/>
      <c r="K58" s="194"/>
    </row>
    <row r="59" spans="2:11" ht="15.6" x14ac:dyDescent="0.3">
      <c r="B59" s="192">
        <v>35</v>
      </c>
      <c r="C59" s="490" t="s">
        <v>576</v>
      </c>
      <c r="D59" s="407"/>
      <c r="E59" s="407"/>
      <c r="F59" s="407"/>
      <c r="G59" s="407"/>
      <c r="H59" s="407"/>
      <c r="I59" s="408"/>
      <c r="J59" s="198">
        <f>'2. PROD'!I27</f>
        <v>220440000</v>
      </c>
      <c r="K59" s="194"/>
    </row>
    <row r="60" spans="2:11" ht="15.75" customHeight="1" x14ac:dyDescent="0.35">
      <c r="B60" s="192">
        <v>36</v>
      </c>
      <c r="C60" s="505" t="str">
        <f>IF('1. DEMANDE'!G30="","Besoins réels en crédit pour la production (29-30-31-32+33-34-35)",IF('1. DEMANDE'!G30="AGRICULTURE","Besoins réels en crédit pour la production (29-30-31-32+33-34-35)","Besoins réels en crédit exploitation (29-30-31-32+33-34-35)"))</f>
        <v>Besoins réels en crédit pour la production (29-30-31-32+33-34-35)</v>
      </c>
      <c r="D60" s="407"/>
      <c r="E60" s="407"/>
      <c r="F60" s="407"/>
      <c r="G60" s="407"/>
      <c r="H60" s="407"/>
      <c r="I60" s="199" t="str">
        <f>IF(J60&lt;0,"Attention-Pas de besoin","")</f>
        <v/>
      </c>
      <c r="J60" s="196">
        <f>J53-J54-J55-J56+J57-J58-J59</f>
        <v>696240000</v>
      </c>
      <c r="K60" s="194"/>
    </row>
    <row r="61" spans="2:11" ht="15.75" customHeight="1" x14ac:dyDescent="0.3"/>
    <row r="62" spans="2:11" ht="15.75" customHeight="1" x14ac:dyDescent="0.3"/>
    <row r="63" spans="2:11" ht="15.75" customHeight="1" x14ac:dyDescent="0.3"/>
    <row r="64" spans="2:11" ht="15.75" customHeight="1" x14ac:dyDescent="0.3"/>
    <row r="65" spans="3:3" ht="15.75" customHeight="1" x14ac:dyDescent="0.3"/>
    <row r="66" spans="3:3" ht="15.75" customHeight="1" x14ac:dyDescent="0.3"/>
    <row r="67" spans="3:3" ht="15.75" customHeight="1" x14ac:dyDescent="0.3"/>
    <row r="68" spans="3:3" ht="15.75" customHeight="1" x14ac:dyDescent="0.3"/>
    <row r="69" spans="3:3" ht="15.75" customHeight="1" x14ac:dyDescent="0.3"/>
    <row r="70" spans="3:3" ht="15.75" customHeight="1" x14ac:dyDescent="0.3"/>
    <row r="71" spans="3:3" ht="15.75" customHeight="1" x14ac:dyDescent="0.3">
      <c r="C71" s="200"/>
    </row>
    <row r="72" spans="3:3" ht="15.75" customHeight="1" x14ac:dyDescent="0.3">
      <c r="C72" s="201"/>
    </row>
    <row r="73" spans="3:3" ht="15.75" customHeight="1" x14ac:dyDescent="0.3">
      <c r="C73" s="200"/>
    </row>
    <row r="74" spans="3:3" ht="15.75" customHeight="1" x14ac:dyDescent="0.3">
      <c r="C74" s="201"/>
    </row>
    <row r="75" spans="3:3" ht="15.75" customHeight="1" x14ac:dyDescent="0.3">
      <c r="C75" s="201"/>
    </row>
    <row r="76" spans="3:3" ht="15.75" customHeight="1" x14ac:dyDescent="0.3">
      <c r="C76" s="201"/>
    </row>
    <row r="77" spans="3:3" ht="15.75" customHeight="1" x14ac:dyDescent="0.3">
      <c r="C77" s="201"/>
    </row>
    <row r="78" spans="3:3" ht="15.75" customHeight="1" x14ac:dyDescent="0.3"/>
    <row r="79" spans="3:3" ht="15.75" customHeight="1" x14ac:dyDescent="0.3">
      <c r="C79" s="201"/>
    </row>
    <row r="80" spans="3:3" ht="15.75" customHeight="1" x14ac:dyDescent="0.3">
      <c r="C80" s="201"/>
    </row>
    <row r="81" spans="3:3" ht="15.75" customHeight="1" x14ac:dyDescent="0.3"/>
    <row r="82" spans="3:3" ht="15.75" customHeight="1" x14ac:dyDescent="0.3">
      <c r="C82" s="201"/>
    </row>
    <row r="83" spans="3:3" ht="15.75" customHeight="1" x14ac:dyDescent="0.3"/>
    <row r="84" spans="3:3" ht="15.75" customHeight="1" x14ac:dyDescent="0.3"/>
    <row r="85" spans="3:3" ht="15.75" customHeight="1" x14ac:dyDescent="0.3"/>
    <row r="86" spans="3:3" ht="15.75" customHeight="1" x14ac:dyDescent="0.3"/>
    <row r="87" spans="3:3" ht="15.75" customHeight="1" x14ac:dyDescent="0.3"/>
    <row r="88" spans="3:3" ht="15.75" customHeight="1" x14ac:dyDescent="0.3"/>
    <row r="89" spans="3:3" ht="15.75" customHeight="1" x14ac:dyDescent="0.3"/>
    <row r="90" spans="3:3" ht="15.75" customHeight="1" x14ac:dyDescent="0.3"/>
    <row r="91" spans="3:3" ht="15.75" customHeight="1" x14ac:dyDescent="0.3"/>
    <row r="92" spans="3:3" ht="15.75" customHeight="1" x14ac:dyDescent="0.3"/>
    <row r="93" spans="3:3" ht="15.75" customHeight="1" x14ac:dyDescent="0.3"/>
    <row r="94" spans="3:3" ht="15.75" customHeight="1" x14ac:dyDescent="0.3"/>
    <row r="95" spans="3:3" ht="15.75" customHeight="1" x14ac:dyDescent="0.3"/>
    <row r="96" spans="3:3" ht="15.75" customHeight="1" x14ac:dyDescent="0.3"/>
    <row r="97" ht="15.75" customHeight="1" x14ac:dyDescent="0.3"/>
    <row r="98" ht="15.75" customHeight="1" x14ac:dyDescent="0.3"/>
    <row r="99" ht="15.75" customHeight="1" x14ac:dyDescent="0.3"/>
    <row r="100" ht="15.75" customHeight="1" x14ac:dyDescent="0.3"/>
  </sheetData>
  <mergeCells count="47">
    <mergeCell ref="J4:K4"/>
    <mergeCell ref="C16:H16"/>
    <mergeCell ref="C21:H21"/>
    <mergeCell ref="C22:H22"/>
    <mergeCell ref="C23:H23"/>
    <mergeCell ref="B2:C2"/>
    <mergeCell ref="D2:I2"/>
    <mergeCell ref="B4:C4"/>
    <mergeCell ref="C31:H31"/>
    <mergeCell ref="C35:H35"/>
    <mergeCell ref="C24:H24"/>
    <mergeCell ref="C26:H26"/>
    <mergeCell ref="C18:H18"/>
    <mergeCell ref="C17:H17"/>
    <mergeCell ref="H4:I4"/>
    <mergeCell ref="C32:H32"/>
    <mergeCell ref="C33:H33"/>
    <mergeCell ref="C60:H60"/>
    <mergeCell ref="C44:F44"/>
    <mergeCell ref="D4:F4"/>
    <mergeCell ref="C15:H15"/>
    <mergeCell ref="C14:H14"/>
    <mergeCell ref="C13:H13"/>
    <mergeCell ref="C41:H41"/>
    <mergeCell ref="C30:H30"/>
    <mergeCell ref="C37:H37"/>
    <mergeCell ref="C39:H39"/>
    <mergeCell ref="C59:I59"/>
    <mergeCell ref="C54:I54"/>
    <mergeCell ref="C55:I55"/>
    <mergeCell ref="C56:I56"/>
    <mergeCell ref="C42:H42"/>
    <mergeCell ref="C46:I46"/>
    <mergeCell ref="C28:H28"/>
    <mergeCell ref="C29:H29"/>
    <mergeCell ref="B10:B11"/>
    <mergeCell ref="C10:H11"/>
    <mergeCell ref="C20:H20"/>
    <mergeCell ref="C19:H19"/>
    <mergeCell ref="C57:I57"/>
    <mergeCell ref="C58:I58"/>
    <mergeCell ref="C47:I47"/>
    <mergeCell ref="C48:I48"/>
    <mergeCell ref="C53:I53"/>
    <mergeCell ref="C52:I52"/>
    <mergeCell ref="C49:I49"/>
    <mergeCell ref="C50:H50"/>
  </mergeCells>
  <conditionalFormatting sqref="I50">
    <cfRule type="containsText" dxfId="59" priority="1" operator="containsText" text="Attention/Erreur">
      <formula>NOT(ISERROR(SEARCH(("Attention/Erreur"),(I50))))</formula>
    </cfRule>
  </conditionalFormatting>
  <conditionalFormatting sqref="I60">
    <cfRule type="containsText" dxfId="58" priority="2" operator="containsText" text="Attention-Pas de besoin">
      <formula>NOT(ISERROR(SEARCH(("Attention-Pas de besoin"),(I60))))</formula>
    </cfRule>
  </conditionalFormatting>
  <dataValidations count="2">
    <dataValidation type="decimal" operator="lessThan" allowBlank="1" showInputMessage="1" showErrorMessage="1" prompt="Attention !  - Ce montant est supérieur à la trésorerie disponible dans le bilan. Revoir l'apport déclaré par le client." sqref="J49" xr:uid="{00000000-0002-0000-0600-000000000000}">
      <formula1>I13</formula1>
    </dataValidation>
    <dataValidation type="decimal" operator="lessThan" allowBlank="1" showInputMessage="1" showErrorMessage="1" prompt="Attention !  - Ce montant est supérieur à la trésorerie disponible dans le bilan. Revoir l'apport déclaré par le client." sqref="J54" xr:uid="{00000000-0002-0000-0600-000001000000}">
      <formula1>I13</formula1>
    </dataValidation>
  </dataValidations>
  <pageMargins left="0.70866141732283472" right="0.43307086614173229" top="0.74803149606299213" bottom="0.55118110236220474" header="0" footer="0"/>
  <pageSetup scale="75" orientation="portrait"/>
  <headerFooter>
    <oddFooter>&amp;LGrille d’analyse de crédit agricole développé par DID&amp;C_x000D_#000000 Usage Interne</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O100"/>
  <sheetViews>
    <sheetView showGridLines="0" topLeftCell="A14" workbookViewId="0">
      <selection activeCell="N39" sqref="N39"/>
    </sheetView>
  </sheetViews>
  <sheetFormatPr baseColWidth="10" defaultColWidth="14.44140625" defaultRowHeight="15" customHeight="1" x14ac:dyDescent="0.3"/>
  <cols>
    <col min="1" max="1" width="10.88671875" customWidth="1"/>
    <col min="2" max="2" width="3.44140625" customWidth="1"/>
    <col min="3" max="3" width="31" customWidth="1"/>
    <col min="4" max="4" width="5.109375" customWidth="1"/>
    <col min="5" max="5" width="6.5546875" customWidth="1"/>
    <col min="6" max="6" width="5.44140625" customWidth="1"/>
    <col min="7" max="7" width="5.88671875" customWidth="1"/>
    <col min="8" max="8" width="11.109375" customWidth="1"/>
    <col min="9" max="9" width="6.5546875" customWidth="1"/>
    <col min="10" max="10" width="6.44140625" customWidth="1"/>
    <col min="11" max="11" width="17.109375" customWidth="1"/>
    <col min="12" max="12" width="20" customWidth="1"/>
    <col min="13" max="15" width="10.88671875" customWidth="1"/>
  </cols>
  <sheetData>
    <row r="1" spans="1:15" ht="14.4" x14ac:dyDescent="0.3">
      <c r="A1" s="96"/>
      <c r="B1" s="96"/>
      <c r="C1" s="96"/>
      <c r="D1" s="96"/>
      <c r="E1" s="202"/>
      <c r="F1" s="96"/>
      <c r="G1" s="96"/>
      <c r="H1" s="96"/>
      <c r="I1" s="96"/>
      <c r="J1" s="96"/>
      <c r="K1" s="96"/>
      <c r="L1" s="96"/>
      <c r="M1" s="96"/>
      <c r="N1" s="96"/>
      <c r="O1" s="96"/>
    </row>
    <row r="2" spans="1:15" ht="14.4" x14ac:dyDescent="0.3">
      <c r="A2" s="96"/>
      <c r="B2" s="96"/>
      <c r="C2" s="96"/>
      <c r="D2" s="96"/>
      <c r="E2" s="96"/>
      <c r="F2" s="96"/>
      <c r="G2" s="96"/>
      <c r="H2" s="96"/>
      <c r="I2" s="96"/>
      <c r="J2" s="96"/>
      <c r="K2" s="96"/>
      <c r="L2" s="96"/>
      <c r="M2" s="96"/>
      <c r="N2" s="96"/>
      <c r="O2" s="96"/>
    </row>
    <row r="3" spans="1:15" ht="17.399999999999999" x14ac:dyDescent="0.3">
      <c r="A3" s="96"/>
      <c r="B3" s="96"/>
      <c r="C3" s="95" t="s">
        <v>535</v>
      </c>
      <c r="D3" s="511" t="str">
        <f>'1. DEMANDE'!H15</f>
        <v>MARIAMA KABA</v>
      </c>
      <c r="E3" s="382"/>
      <c r="F3" s="382"/>
      <c r="G3" s="382"/>
      <c r="H3" s="382"/>
      <c r="I3" s="383"/>
      <c r="J3" s="203"/>
      <c r="K3" s="60" t="s">
        <v>429</v>
      </c>
      <c r="L3" s="204" t="str">
        <f>'1. DEMANDE'!AD5</f>
        <v>FORECARIAH</v>
      </c>
      <c r="M3" s="96"/>
      <c r="N3" s="96"/>
      <c r="O3" s="96"/>
    </row>
    <row r="4" spans="1:15" ht="17.399999999999999" x14ac:dyDescent="0.3">
      <c r="A4" s="96"/>
      <c r="B4" s="96"/>
      <c r="C4" s="172"/>
      <c r="D4" s="172"/>
      <c r="E4" s="172"/>
      <c r="F4" s="172"/>
      <c r="G4" s="172"/>
      <c r="H4" s="172"/>
      <c r="I4" s="172"/>
      <c r="J4" s="172"/>
      <c r="K4" s="172"/>
      <c r="L4" s="172"/>
      <c r="M4" s="96"/>
      <c r="N4" s="96"/>
      <c r="O4" s="96"/>
    </row>
    <row r="5" spans="1:15" ht="17.399999999999999" x14ac:dyDescent="0.3">
      <c r="A5" s="96"/>
      <c r="B5" s="96"/>
      <c r="C5" s="95" t="s">
        <v>536</v>
      </c>
      <c r="D5" s="511">
        <f>'1. DEMANDE'!AH15</f>
        <v>10300181501</v>
      </c>
      <c r="E5" s="382"/>
      <c r="F5" s="383"/>
      <c r="G5" s="152"/>
      <c r="H5" s="414" t="s">
        <v>433</v>
      </c>
      <c r="I5" s="399"/>
      <c r="J5" s="399"/>
      <c r="K5" s="521" t="str">
        <f>'1. DEMANDE'!AD7</f>
        <v>MOHAMED MMAH CAMARA</v>
      </c>
      <c r="L5" s="383"/>
      <c r="M5" s="96"/>
      <c r="N5" s="96"/>
      <c r="O5" s="96"/>
    </row>
    <row r="6" spans="1:15" ht="14.4" x14ac:dyDescent="0.3">
      <c r="A6" s="96"/>
      <c r="B6" s="96"/>
      <c r="C6" s="96"/>
      <c r="D6" s="96"/>
      <c r="E6" s="96"/>
      <c r="F6" s="96"/>
      <c r="G6" s="96"/>
      <c r="H6" s="96"/>
      <c r="I6" s="96"/>
      <c r="J6" s="96"/>
      <c r="K6" s="96"/>
      <c r="L6" s="205"/>
      <c r="M6" s="96"/>
      <c r="N6" s="96"/>
      <c r="O6" s="96"/>
    </row>
    <row r="7" spans="1:15" ht="14.25" customHeight="1" x14ac:dyDescent="0.3">
      <c r="A7" s="96"/>
      <c r="B7" s="96"/>
      <c r="C7" s="96"/>
      <c r="D7" s="96"/>
      <c r="E7" s="96"/>
      <c r="F7" s="96"/>
      <c r="G7" s="96"/>
      <c r="H7" s="414" t="s">
        <v>515</v>
      </c>
      <c r="I7" s="399"/>
      <c r="J7" s="399"/>
      <c r="K7" s="206">
        <f>'5. RESULTAT'!M7</f>
        <v>46093</v>
      </c>
      <c r="L7" s="96"/>
      <c r="M7" s="96"/>
      <c r="N7" s="96"/>
      <c r="O7" s="96"/>
    </row>
    <row r="8" spans="1:15" ht="17.399999999999999" x14ac:dyDescent="0.3">
      <c r="A8" s="96"/>
      <c r="B8" s="96"/>
      <c r="C8" s="96"/>
      <c r="D8" s="96"/>
      <c r="E8" s="96"/>
      <c r="F8" s="96"/>
      <c r="G8" s="96"/>
      <c r="H8" s="96"/>
      <c r="I8" s="96"/>
      <c r="J8" s="60"/>
      <c r="K8" s="96"/>
      <c r="L8" s="96"/>
      <c r="M8" s="96"/>
      <c r="N8" s="96"/>
      <c r="O8" s="96"/>
    </row>
    <row r="9" spans="1:15" ht="18" customHeight="1" x14ac:dyDescent="0.3">
      <c r="A9" s="96"/>
      <c r="B9" s="207" t="s">
        <v>577</v>
      </c>
      <c r="C9" s="523" t="s">
        <v>578</v>
      </c>
      <c r="D9" s="446"/>
      <c r="E9" s="446"/>
      <c r="F9" s="446"/>
      <c r="G9" s="446"/>
      <c r="H9" s="446"/>
      <c r="I9" s="446"/>
      <c r="J9" s="446"/>
      <c r="K9" s="447"/>
      <c r="L9" s="208"/>
      <c r="M9" s="96"/>
      <c r="N9" s="96"/>
      <c r="O9" s="96"/>
    </row>
    <row r="10" spans="1:15" ht="14.25" customHeight="1" x14ac:dyDescent="0.3">
      <c r="A10" s="96"/>
      <c r="B10" s="97"/>
      <c r="C10" s="96"/>
      <c r="D10" s="96"/>
      <c r="E10" s="202"/>
      <c r="F10" s="209"/>
      <c r="G10" s="96"/>
      <c r="H10" s="96"/>
      <c r="I10" s="96"/>
      <c r="J10" s="96"/>
      <c r="K10" s="96"/>
      <c r="L10" s="98"/>
      <c r="M10" s="96"/>
      <c r="N10" s="96"/>
      <c r="O10" s="96"/>
    </row>
    <row r="11" spans="1:15" ht="24" x14ac:dyDescent="0.3">
      <c r="A11" s="90"/>
      <c r="B11" s="210"/>
      <c r="C11" s="510" t="s">
        <v>579</v>
      </c>
      <c r="D11" s="407"/>
      <c r="E11" s="407"/>
      <c r="F11" s="407"/>
      <c r="G11" s="408"/>
      <c r="H11" s="520" t="s">
        <v>580</v>
      </c>
      <c r="I11" s="408"/>
      <c r="J11" s="211" t="s">
        <v>581</v>
      </c>
      <c r="K11" s="211" t="s">
        <v>582</v>
      </c>
      <c r="L11" s="212" t="s">
        <v>583</v>
      </c>
      <c r="M11" s="90"/>
      <c r="N11" s="90"/>
      <c r="O11" s="90"/>
    </row>
    <row r="12" spans="1:15" ht="15.6" x14ac:dyDescent="0.3">
      <c r="A12" s="96"/>
      <c r="B12" s="97"/>
      <c r="C12" s="522" t="s">
        <v>176</v>
      </c>
      <c r="D12" s="407"/>
      <c r="E12" s="407"/>
      <c r="F12" s="407"/>
      <c r="G12" s="408"/>
      <c r="H12" s="515">
        <v>15000000</v>
      </c>
      <c r="I12" s="408"/>
      <c r="J12" s="213">
        <v>10</v>
      </c>
      <c r="K12" s="214">
        <f t="shared" ref="K12:K16" si="0">H12*J12</f>
        <v>150000000</v>
      </c>
      <c r="L12" s="167" t="s">
        <v>584</v>
      </c>
      <c r="M12" s="96"/>
      <c r="N12" s="96"/>
      <c r="O12" s="96"/>
    </row>
    <row r="13" spans="1:15" ht="15.6" x14ac:dyDescent="0.3">
      <c r="A13" s="96"/>
      <c r="B13" s="97"/>
      <c r="C13" s="522" t="s">
        <v>36</v>
      </c>
      <c r="D13" s="407"/>
      <c r="E13" s="407"/>
      <c r="F13" s="407"/>
      <c r="G13" s="408"/>
      <c r="H13" s="515">
        <v>8332000</v>
      </c>
      <c r="I13" s="408"/>
      <c r="J13" s="213">
        <v>3</v>
      </c>
      <c r="K13" s="214">
        <f t="shared" si="0"/>
        <v>24996000</v>
      </c>
      <c r="L13" s="167" t="s">
        <v>585</v>
      </c>
      <c r="M13" s="96"/>
      <c r="N13" s="96"/>
      <c r="O13" s="96"/>
    </row>
    <row r="14" spans="1:15" ht="15.6" x14ac:dyDescent="0.3">
      <c r="A14" s="96"/>
      <c r="B14" s="97"/>
      <c r="C14" s="522" t="s">
        <v>152</v>
      </c>
      <c r="D14" s="407"/>
      <c r="E14" s="407"/>
      <c r="F14" s="407"/>
      <c r="G14" s="408"/>
      <c r="H14" s="515">
        <v>12000000</v>
      </c>
      <c r="I14" s="408"/>
      <c r="J14" s="213">
        <v>10</v>
      </c>
      <c r="K14" s="214">
        <f t="shared" si="0"/>
        <v>120000000</v>
      </c>
      <c r="L14" s="167" t="s">
        <v>586</v>
      </c>
      <c r="M14" s="96"/>
      <c r="N14" s="96"/>
      <c r="O14" s="96"/>
    </row>
    <row r="15" spans="1:15" ht="15.6" x14ac:dyDescent="0.3">
      <c r="A15" s="96"/>
      <c r="B15" s="97"/>
      <c r="C15" s="522" t="s">
        <v>36</v>
      </c>
      <c r="D15" s="407"/>
      <c r="E15" s="407"/>
      <c r="F15" s="407"/>
      <c r="G15" s="408"/>
      <c r="H15" s="515">
        <v>20000000</v>
      </c>
      <c r="I15" s="408"/>
      <c r="J15" s="213">
        <v>8</v>
      </c>
      <c r="K15" s="214">
        <f t="shared" si="0"/>
        <v>160000000</v>
      </c>
      <c r="L15" s="167"/>
      <c r="M15" s="96"/>
      <c r="N15" s="96"/>
      <c r="O15" s="96"/>
    </row>
    <row r="16" spans="1:15" ht="15.6" x14ac:dyDescent="0.3">
      <c r="A16" s="96"/>
      <c r="B16" s="97"/>
      <c r="C16" s="522"/>
      <c r="D16" s="407"/>
      <c r="E16" s="407"/>
      <c r="F16" s="407"/>
      <c r="G16" s="408"/>
      <c r="H16" s="515"/>
      <c r="I16" s="408"/>
      <c r="J16" s="213"/>
      <c r="K16" s="214">
        <f t="shared" si="0"/>
        <v>0</v>
      </c>
      <c r="L16" s="167"/>
      <c r="M16" s="96"/>
      <c r="N16" s="96"/>
      <c r="O16" s="96"/>
    </row>
    <row r="17" spans="1:15" ht="17.399999999999999" x14ac:dyDescent="0.3">
      <c r="A17" s="96"/>
      <c r="B17" s="97"/>
      <c r="C17" s="524" t="s">
        <v>525</v>
      </c>
      <c r="D17" s="407"/>
      <c r="E17" s="407"/>
      <c r="F17" s="407"/>
      <c r="G17" s="407"/>
      <c r="H17" s="407"/>
      <c r="I17" s="407"/>
      <c r="J17" s="408"/>
      <c r="K17" s="215">
        <f>SUM(K12:K16)</f>
        <v>454996000</v>
      </c>
      <c r="L17" s="216"/>
      <c r="M17" s="96"/>
      <c r="N17" s="96"/>
      <c r="O17" s="96"/>
    </row>
    <row r="18" spans="1:15" ht="14.4" x14ac:dyDescent="0.3">
      <c r="A18" s="96"/>
      <c r="B18" s="97"/>
      <c r="C18" s="96"/>
      <c r="D18" s="96"/>
      <c r="E18" s="202"/>
      <c r="F18" s="96"/>
      <c r="G18" s="96"/>
      <c r="H18" s="96"/>
      <c r="I18" s="96"/>
      <c r="J18" s="96"/>
      <c r="K18" s="96"/>
      <c r="L18" s="98"/>
      <c r="M18" s="96"/>
      <c r="N18" s="96"/>
      <c r="O18" s="96"/>
    </row>
    <row r="19" spans="1:15" ht="24" x14ac:dyDescent="0.3">
      <c r="A19" s="96"/>
      <c r="B19" s="97"/>
      <c r="C19" s="519" t="s">
        <v>587</v>
      </c>
      <c r="D19" s="407"/>
      <c r="E19" s="407"/>
      <c r="F19" s="407"/>
      <c r="G19" s="408"/>
      <c r="H19" s="520" t="s">
        <v>588</v>
      </c>
      <c r="I19" s="408"/>
      <c r="J19" s="211" t="s">
        <v>581</v>
      </c>
      <c r="K19" s="211" t="s">
        <v>589</v>
      </c>
      <c r="L19" s="212" t="s">
        <v>583</v>
      </c>
      <c r="M19" s="96"/>
      <c r="N19" s="96"/>
      <c r="O19" s="96"/>
    </row>
    <row r="20" spans="1:15" ht="10.5" customHeight="1" x14ac:dyDescent="0.3">
      <c r="A20" s="96"/>
      <c r="B20" s="97"/>
      <c r="C20" s="518"/>
      <c r="D20" s="407"/>
      <c r="E20" s="407"/>
      <c r="F20" s="407"/>
      <c r="G20" s="407"/>
      <c r="H20" s="407"/>
      <c r="I20" s="407"/>
      <c r="J20" s="407"/>
      <c r="K20" s="407"/>
      <c r="L20" s="514"/>
      <c r="M20" s="96"/>
      <c r="N20" s="96"/>
      <c r="O20" s="96"/>
    </row>
    <row r="21" spans="1:15" ht="15.75" customHeight="1" x14ac:dyDescent="0.3">
      <c r="A21" s="96"/>
      <c r="B21" s="97"/>
      <c r="C21" s="513" t="s">
        <v>590</v>
      </c>
      <c r="D21" s="407"/>
      <c r="E21" s="407"/>
      <c r="F21" s="407"/>
      <c r="G21" s="407"/>
      <c r="H21" s="407"/>
      <c r="I21" s="407"/>
      <c r="J21" s="407"/>
      <c r="K21" s="407"/>
      <c r="L21" s="514"/>
      <c r="M21" s="96"/>
      <c r="N21" s="96"/>
      <c r="O21" s="96"/>
    </row>
    <row r="22" spans="1:15" ht="15.75" customHeight="1" x14ac:dyDescent="0.3">
      <c r="A22" s="96"/>
      <c r="B22" s="97"/>
      <c r="C22" s="512" t="s">
        <v>591</v>
      </c>
      <c r="D22" s="407"/>
      <c r="E22" s="407"/>
      <c r="F22" s="407"/>
      <c r="G22" s="408"/>
      <c r="H22" s="515">
        <v>6000000</v>
      </c>
      <c r="I22" s="408"/>
      <c r="J22" s="217">
        <v>12</v>
      </c>
      <c r="K22" s="218">
        <f t="shared" ref="K22:K24" si="1">H22*J22</f>
        <v>72000000</v>
      </c>
      <c r="L22" s="167" t="s">
        <v>592</v>
      </c>
      <c r="M22" s="96"/>
      <c r="N22" s="96"/>
      <c r="O22" s="96"/>
    </row>
    <row r="23" spans="1:15" ht="15.75" customHeight="1" x14ac:dyDescent="0.3">
      <c r="A23" s="96"/>
      <c r="B23" s="97"/>
      <c r="C23" s="512" t="s">
        <v>593</v>
      </c>
      <c r="D23" s="407"/>
      <c r="E23" s="407"/>
      <c r="F23" s="407"/>
      <c r="G23" s="408"/>
      <c r="H23" s="515">
        <v>3000000</v>
      </c>
      <c r="I23" s="408"/>
      <c r="J23" s="217">
        <v>12</v>
      </c>
      <c r="K23" s="218">
        <f t="shared" si="1"/>
        <v>36000000</v>
      </c>
      <c r="L23" s="167" t="s">
        <v>594</v>
      </c>
      <c r="M23" s="96"/>
      <c r="N23" s="96"/>
      <c r="O23" s="96"/>
    </row>
    <row r="24" spans="1:15" ht="15.75" customHeight="1" x14ac:dyDescent="0.3">
      <c r="A24" s="96"/>
      <c r="B24" s="97"/>
      <c r="C24" s="512" t="s">
        <v>595</v>
      </c>
      <c r="D24" s="407"/>
      <c r="E24" s="407"/>
      <c r="F24" s="407"/>
      <c r="G24" s="408"/>
      <c r="H24" s="515">
        <v>200000</v>
      </c>
      <c r="I24" s="408"/>
      <c r="J24" s="217">
        <v>12</v>
      </c>
      <c r="K24" s="218">
        <f t="shared" si="1"/>
        <v>2400000</v>
      </c>
      <c r="L24" s="167"/>
      <c r="M24" s="96"/>
      <c r="N24" s="96"/>
      <c r="O24" s="96"/>
    </row>
    <row r="25" spans="1:15" ht="15.75" customHeight="1" x14ac:dyDescent="0.3">
      <c r="A25" s="96"/>
      <c r="B25" s="97"/>
      <c r="C25" s="513" t="s">
        <v>596</v>
      </c>
      <c r="D25" s="407"/>
      <c r="E25" s="407"/>
      <c r="F25" s="407"/>
      <c r="G25" s="407"/>
      <c r="H25" s="407"/>
      <c r="I25" s="407"/>
      <c r="J25" s="407"/>
      <c r="K25" s="407"/>
      <c r="L25" s="514"/>
      <c r="M25" s="96"/>
      <c r="N25" s="96"/>
      <c r="O25" s="96"/>
    </row>
    <row r="26" spans="1:15" ht="15.75" customHeight="1" x14ac:dyDescent="0.3">
      <c r="A26" s="96"/>
      <c r="B26" s="97"/>
      <c r="C26" s="512" t="s">
        <v>597</v>
      </c>
      <c r="D26" s="407"/>
      <c r="E26" s="407"/>
      <c r="F26" s="407"/>
      <c r="G26" s="408"/>
      <c r="H26" s="515">
        <v>2000000</v>
      </c>
      <c r="I26" s="408"/>
      <c r="J26" s="217">
        <v>2</v>
      </c>
      <c r="K26" s="214">
        <f t="shared" ref="K26:K28" si="2">H26*J26</f>
        <v>4000000</v>
      </c>
      <c r="L26" s="167" t="s">
        <v>598</v>
      </c>
      <c r="M26" s="96"/>
      <c r="N26" s="96"/>
      <c r="O26" s="96"/>
    </row>
    <row r="27" spans="1:15" ht="15.75" customHeight="1" x14ac:dyDescent="0.3">
      <c r="A27" s="96"/>
      <c r="B27" s="97"/>
      <c r="C27" s="512" t="s">
        <v>599</v>
      </c>
      <c r="D27" s="407"/>
      <c r="E27" s="407"/>
      <c r="F27" s="407"/>
      <c r="G27" s="408"/>
      <c r="H27" s="515">
        <v>200000</v>
      </c>
      <c r="I27" s="408"/>
      <c r="J27" s="217">
        <v>12</v>
      </c>
      <c r="K27" s="214">
        <f t="shared" si="2"/>
        <v>2400000</v>
      </c>
      <c r="L27" s="167" t="s">
        <v>600</v>
      </c>
      <c r="M27" s="96"/>
      <c r="N27" s="96"/>
      <c r="O27" s="96"/>
    </row>
    <row r="28" spans="1:15" ht="15.75" customHeight="1" x14ac:dyDescent="0.3">
      <c r="A28" s="96"/>
      <c r="B28" s="97"/>
      <c r="C28" s="512" t="s">
        <v>601</v>
      </c>
      <c r="D28" s="407"/>
      <c r="E28" s="407"/>
      <c r="F28" s="407"/>
      <c r="G28" s="408"/>
      <c r="H28" s="515">
        <v>3500000</v>
      </c>
      <c r="I28" s="408"/>
      <c r="J28" s="217">
        <v>12</v>
      </c>
      <c r="K28" s="214">
        <f t="shared" si="2"/>
        <v>42000000</v>
      </c>
      <c r="L28" s="167" t="s">
        <v>602</v>
      </c>
      <c r="M28" s="96"/>
      <c r="N28" s="96"/>
      <c r="O28" s="96"/>
    </row>
    <row r="29" spans="1:15" ht="15.75" customHeight="1" x14ac:dyDescent="0.3">
      <c r="A29" s="96"/>
      <c r="B29" s="97"/>
      <c r="C29" s="513" t="s">
        <v>226</v>
      </c>
      <c r="D29" s="407"/>
      <c r="E29" s="407"/>
      <c r="F29" s="407"/>
      <c r="G29" s="407"/>
      <c r="H29" s="407"/>
      <c r="I29" s="407"/>
      <c r="J29" s="407"/>
      <c r="K29" s="407"/>
      <c r="L29" s="514"/>
      <c r="M29" s="96"/>
      <c r="N29" s="96"/>
      <c r="O29" s="96"/>
    </row>
    <row r="30" spans="1:15" ht="15.75" customHeight="1" x14ac:dyDescent="0.3">
      <c r="A30" s="96"/>
      <c r="B30" s="97"/>
      <c r="C30" s="512" t="s">
        <v>603</v>
      </c>
      <c r="D30" s="407"/>
      <c r="E30" s="407"/>
      <c r="F30" s="407"/>
      <c r="G30" s="408"/>
      <c r="H30" s="515"/>
      <c r="I30" s="408"/>
      <c r="J30" s="217"/>
      <c r="K30" s="214">
        <f t="shared" ref="K30:K32" si="3">H30*J30</f>
        <v>0</v>
      </c>
      <c r="L30" s="167"/>
      <c r="M30" s="96"/>
      <c r="N30" s="96"/>
      <c r="O30" s="96"/>
    </row>
    <row r="31" spans="1:15" ht="15.75" customHeight="1" x14ac:dyDescent="0.3">
      <c r="A31" s="96"/>
      <c r="B31" s="97"/>
      <c r="C31" s="512" t="s">
        <v>604</v>
      </c>
      <c r="D31" s="407"/>
      <c r="E31" s="407"/>
      <c r="F31" s="407"/>
      <c r="G31" s="408"/>
      <c r="H31" s="515">
        <v>2000000</v>
      </c>
      <c r="I31" s="408"/>
      <c r="J31" s="217">
        <v>12</v>
      </c>
      <c r="K31" s="214">
        <f t="shared" si="3"/>
        <v>24000000</v>
      </c>
      <c r="L31" s="167"/>
      <c r="M31" s="96"/>
      <c r="N31" s="96"/>
      <c r="O31" s="96"/>
    </row>
    <row r="32" spans="1:15" ht="15.75" customHeight="1" x14ac:dyDescent="0.3">
      <c r="A32" s="96"/>
      <c r="B32" s="97"/>
      <c r="C32" s="512" t="s">
        <v>605</v>
      </c>
      <c r="D32" s="407"/>
      <c r="E32" s="407"/>
      <c r="F32" s="407"/>
      <c r="G32" s="408"/>
      <c r="H32" s="515">
        <v>5000000</v>
      </c>
      <c r="I32" s="408"/>
      <c r="J32" s="217">
        <v>12</v>
      </c>
      <c r="K32" s="214">
        <f t="shared" si="3"/>
        <v>60000000</v>
      </c>
      <c r="L32" s="167"/>
      <c r="M32" s="96"/>
      <c r="N32" s="96"/>
      <c r="O32" s="96"/>
    </row>
    <row r="33" spans="1:15" ht="15.75" customHeight="1" x14ac:dyDescent="0.3">
      <c r="A33" s="96"/>
      <c r="B33" s="97"/>
      <c r="C33" s="513" t="s">
        <v>606</v>
      </c>
      <c r="D33" s="407"/>
      <c r="E33" s="407"/>
      <c r="F33" s="407"/>
      <c r="G33" s="407"/>
      <c r="H33" s="407"/>
      <c r="I33" s="407"/>
      <c r="J33" s="407"/>
      <c r="K33" s="407"/>
      <c r="L33" s="514"/>
      <c r="M33" s="96"/>
      <c r="N33" s="96"/>
      <c r="O33" s="96"/>
    </row>
    <row r="34" spans="1:15" ht="15.75" customHeight="1" x14ac:dyDescent="0.3">
      <c r="A34" s="96"/>
      <c r="B34" s="97"/>
      <c r="C34" s="512" t="s">
        <v>607</v>
      </c>
      <c r="D34" s="407"/>
      <c r="E34" s="407"/>
      <c r="F34" s="407"/>
      <c r="G34" s="408"/>
      <c r="H34" s="515">
        <v>3000000</v>
      </c>
      <c r="I34" s="408"/>
      <c r="J34" s="217">
        <v>12</v>
      </c>
      <c r="K34" s="214">
        <f t="shared" ref="K34:K38" si="4">H34*J34</f>
        <v>36000000</v>
      </c>
      <c r="L34" s="167"/>
      <c r="M34" s="96"/>
      <c r="N34" s="96"/>
      <c r="O34" s="96"/>
    </row>
    <row r="35" spans="1:15" ht="15.75" customHeight="1" x14ac:dyDescent="0.3">
      <c r="A35" s="96"/>
      <c r="B35" s="97"/>
      <c r="C35" s="512" t="s">
        <v>608</v>
      </c>
      <c r="D35" s="407"/>
      <c r="E35" s="407"/>
      <c r="F35" s="407"/>
      <c r="G35" s="408"/>
      <c r="H35" s="515">
        <v>5000000</v>
      </c>
      <c r="I35" s="408"/>
      <c r="J35" s="217">
        <v>12</v>
      </c>
      <c r="K35" s="214">
        <f t="shared" si="4"/>
        <v>60000000</v>
      </c>
      <c r="L35" s="167"/>
      <c r="M35" s="96"/>
      <c r="N35" s="96"/>
      <c r="O35" s="96"/>
    </row>
    <row r="36" spans="1:15" ht="15.75" customHeight="1" x14ac:dyDescent="0.3">
      <c r="A36" s="96"/>
      <c r="B36" s="97"/>
      <c r="C36" s="512" t="s">
        <v>609</v>
      </c>
      <c r="D36" s="407"/>
      <c r="E36" s="407"/>
      <c r="F36" s="407"/>
      <c r="G36" s="408"/>
      <c r="H36" s="515">
        <v>1500000</v>
      </c>
      <c r="I36" s="408"/>
      <c r="J36" s="217">
        <v>8</v>
      </c>
      <c r="K36" s="214">
        <f t="shared" si="4"/>
        <v>12000000</v>
      </c>
      <c r="L36" s="167"/>
      <c r="M36" s="96"/>
      <c r="N36" s="96"/>
      <c r="O36" s="96"/>
    </row>
    <row r="37" spans="1:15" ht="15.75" customHeight="1" x14ac:dyDescent="0.3">
      <c r="A37" s="96"/>
      <c r="B37" s="97"/>
      <c r="C37" s="512" t="s">
        <v>610</v>
      </c>
      <c r="D37" s="407"/>
      <c r="E37" s="407"/>
      <c r="F37" s="407"/>
      <c r="G37" s="408"/>
      <c r="H37" s="515"/>
      <c r="I37" s="408"/>
      <c r="J37" s="217"/>
      <c r="K37" s="214">
        <f t="shared" si="4"/>
        <v>0</v>
      </c>
      <c r="L37" s="167"/>
      <c r="M37" s="96"/>
      <c r="N37" s="96"/>
      <c r="O37" s="96"/>
    </row>
    <row r="38" spans="1:15" ht="15.75" customHeight="1" x14ac:dyDescent="0.3">
      <c r="A38" s="96"/>
      <c r="B38" s="97"/>
      <c r="C38" s="512" t="s">
        <v>611</v>
      </c>
      <c r="D38" s="407"/>
      <c r="E38" s="407"/>
      <c r="F38" s="407"/>
      <c r="G38" s="408"/>
      <c r="H38" s="515">
        <v>100000000</v>
      </c>
      <c r="I38" s="408"/>
      <c r="J38" s="217">
        <v>1</v>
      </c>
      <c r="K38" s="214">
        <f t="shared" si="4"/>
        <v>100000000</v>
      </c>
      <c r="L38" s="167"/>
      <c r="M38" s="96"/>
      <c r="N38" s="96"/>
      <c r="O38" s="96"/>
    </row>
    <row r="39" spans="1:15" ht="17.399999999999999" x14ac:dyDescent="0.3">
      <c r="A39" s="96"/>
      <c r="B39" s="97"/>
      <c r="C39" s="513" t="s">
        <v>525</v>
      </c>
      <c r="D39" s="407"/>
      <c r="E39" s="407"/>
      <c r="F39" s="407"/>
      <c r="G39" s="407"/>
      <c r="H39" s="407"/>
      <c r="I39" s="407"/>
      <c r="J39" s="408"/>
      <c r="K39" s="215">
        <f>K22+K23+K24+K26+K27+K28+K30+K31+K32+K34+K35+K36+K37+K38</f>
        <v>450800000</v>
      </c>
      <c r="L39" s="216"/>
      <c r="M39" s="96"/>
      <c r="N39" s="96"/>
      <c r="O39" s="96"/>
    </row>
    <row r="40" spans="1:15" ht="15.75" customHeight="1" x14ac:dyDescent="0.3">
      <c r="A40" s="96"/>
      <c r="B40" s="97"/>
      <c r="C40" s="219"/>
      <c r="D40" s="219"/>
      <c r="E40" s="219"/>
      <c r="F40" s="219"/>
      <c r="G40" s="219"/>
      <c r="H40" s="219"/>
      <c r="I40" s="219"/>
      <c r="J40" s="220"/>
      <c r="K40" s="221"/>
      <c r="L40" s="98"/>
      <c r="M40" s="96"/>
      <c r="N40" s="96"/>
      <c r="O40" s="96"/>
    </row>
    <row r="41" spans="1:15" ht="6" customHeight="1" x14ac:dyDescent="0.3">
      <c r="A41" s="96"/>
      <c r="B41" s="97"/>
      <c r="C41" s="96"/>
      <c r="D41" s="96"/>
      <c r="E41" s="96"/>
      <c r="F41" s="96"/>
      <c r="G41" s="96"/>
      <c r="H41" s="202"/>
      <c r="I41" s="96"/>
      <c r="J41" s="96"/>
      <c r="K41" s="96"/>
      <c r="L41" s="98"/>
      <c r="M41" s="96"/>
      <c r="N41" s="96"/>
      <c r="O41" s="96"/>
    </row>
    <row r="42" spans="1:15" ht="15.75" customHeight="1" x14ac:dyDescent="0.3">
      <c r="A42" s="96"/>
      <c r="B42" s="222"/>
      <c r="C42" s="517" t="s">
        <v>612</v>
      </c>
      <c r="D42" s="502"/>
      <c r="E42" s="502"/>
      <c r="F42" s="502"/>
      <c r="G42" s="502"/>
      <c r="H42" s="516" t="str">
        <f>IF(K42&lt;0,"Manquant",IF(K42&gt;0,"Excédent","NUL"))</f>
        <v>Excédent</v>
      </c>
      <c r="I42" s="502"/>
      <c r="J42" s="223"/>
      <c r="K42" s="224">
        <f>K17-K39</f>
        <v>4196000</v>
      </c>
      <c r="L42" s="225"/>
      <c r="M42" s="96"/>
      <c r="N42" s="96"/>
      <c r="O42" s="96"/>
    </row>
    <row r="43" spans="1:15" ht="15.75" customHeight="1" x14ac:dyDescent="0.3">
      <c r="A43" s="96"/>
      <c r="B43" s="96"/>
      <c r="C43" s="96"/>
      <c r="D43" s="96"/>
      <c r="E43" s="96"/>
      <c r="F43" s="96"/>
      <c r="G43" s="96"/>
      <c r="H43" s="202"/>
      <c r="I43" s="96"/>
      <c r="J43" s="96"/>
      <c r="K43" s="96"/>
      <c r="L43" s="96"/>
      <c r="M43" s="96"/>
      <c r="N43" s="96"/>
      <c r="O43" s="96"/>
    </row>
    <row r="44" spans="1:15" ht="15.75" customHeight="1" x14ac:dyDescent="0.3">
      <c r="A44" s="96"/>
      <c r="B44" s="96"/>
      <c r="C44" s="96"/>
      <c r="D44" s="96"/>
      <c r="E44" s="96"/>
      <c r="F44" s="96"/>
      <c r="G44" s="96"/>
      <c r="H44" s="202"/>
      <c r="I44" s="96"/>
      <c r="J44" s="96"/>
      <c r="K44" s="96"/>
      <c r="L44" s="96"/>
      <c r="M44" s="96"/>
      <c r="N44" s="96"/>
      <c r="O44" s="96"/>
    </row>
    <row r="45" spans="1:15" ht="15.75" customHeight="1" x14ac:dyDescent="0.3">
      <c r="A45" s="96"/>
      <c r="B45" s="96"/>
      <c r="C45" s="96"/>
      <c r="D45" s="96"/>
      <c r="E45" s="202"/>
      <c r="F45" s="96"/>
      <c r="G45" s="96"/>
      <c r="H45" s="96"/>
      <c r="I45" s="96"/>
      <c r="J45" s="96"/>
      <c r="K45" s="96"/>
      <c r="L45" s="96"/>
      <c r="M45" s="96"/>
      <c r="N45" s="96"/>
      <c r="O45" s="96"/>
    </row>
    <row r="46" spans="1:15" ht="15.75" customHeight="1" x14ac:dyDescent="0.3">
      <c r="A46" s="96"/>
      <c r="B46" s="96"/>
      <c r="C46" s="96"/>
      <c r="D46" s="96"/>
      <c r="E46" s="202"/>
      <c r="F46" s="96"/>
      <c r="G46" s="96"/>
      <c r="H46" s="96"/>
      <c r="I46" s="96"/>
      <c r="J46" s="96"/>
      <c r="K46" s="96"/>
      <c r="L46" s="96"/>
      <c r="M46" s="96"/>
      <c r="N46" s="96"/>
      <c r="O46" s="96"/>
    </row>
    <row r="47" spans="1:15" ht="15.75" customHeight="1" x14ac:dyDescent="0.3">
      <c r="A47" s="96"/>
      <c r="B47" s="96"/>
      <c r="C47" s="96"/>
      <c r="D47" s="96"/>
      <c r="E47" s="202"/>
      <c r="F47" s="96"/>
      <c r="G47" s="96"/>
      <c r="H47" s="96"/>
      <c r="I47" s="96"/>
      <c r="J47" s="96"/>
      <c r="K47" s="96"/>
      <c r="L47" s="96"/>
      <c r="M47" s="96"/>
      <c r="N47" s="96"/>
      <c r="O47" s="96"/>
    </row>
    <row r="48" spans="1:15" ht="15.75" customHeight="1" x14ac:dyDescent="0.3">
      <c r="A48" s="96"/>
      <c r="B48" s="96"/>
      <c r="C48" s="96"/>
      <c r="D48" s="96"/>
      <c r="E48" s="202"/>
      <c r="F48" s="96"/>
      <c r="G48" s="96"/>
      <c r="H48" s="96"/>
      <c r="I48" s="96"/>
      <c r="J48" s="96"/>
      <c r="K48" s="96"/>
      <c r="L48" s="96"/>
      <c r="M48" s="96"/>
      <c r="N48" s="96"/>
      <c r="O48" s="96"/>
    </row>
    <row r="49" spans="1:15" ht="15.75" customHeight="1" x14ac:dyDescent="0.3">
      <c r="A49" s="96"/>
      <c r="B49" s="96"/>
      <c r="C49" s="96"/>
      <c r="D49" s="96"/>
      <c r="E49" s="202"/>
      <c r="F49" s="96"/>
      <c r="G49" s="96"/>
      <c r="H49" s="96"/>
      <c r="I49" s="96"/>
      <c r="J49" s="96"/>
      <c r="K49" s="96"/>
      <c r="L49" s="96"/>
      <c r="M49" s="96"/>
      <c r="N49" s="96"/>
      <c r="O49" s="96"/>
    </row>
    <row r="50" spans="1:15" ht="15.75" customHeight="1" x14ac:dyDescent="0.3">
      <c r="A50" s="96"/>
      <c r="B50" s="96"/>
      <c r="C50" s="96"/>
      <c r="D50" s="96"/>
      <c r="E50" s="202"/>
      <c r="F50" s="96"/>
      <c r="G50" s="96"/>
      <c r="H50" s="96"/>
      <c r="I50" s="96"/>
      <c r="J50" s="96"/>
      <c r="K50" s="96"/>
      <c r="L50" s="96"/>
      <c r="M50" s="96"/>
      <c r="N50" s="96"/>
      <c r="O50" s="96"/>
    </row>
    <row r="51" spans="1:15" ht="15.75" customHeight="1" x14ac:dyDescent="0.3">
      <c r="A51" s="96"/>
      <c r="B51" s="96"/>
      <c r="C51" s="96"/>
      <c r="D51" s="96"/>
      <c r="E51" s="202"/>
      <c r="F51" s="96"/>
      <c r="G51" s="96"/>
      <c r="H51" s="96"/>
      <c r="I51" s="96"/>
      <c r="J51" s="96"/>
      <c r="K51" s="96"/>
      <c r="L51" s="96"/>
      <c r="M51" s="96"/>
      <c r="N51" s="96"/>
      <c r="O51" s="96"/>
    </row>
    <row r="52" spans="1:15" ht="15.75" customHeight="1" x14ac:dyDescent="0.3">
      <c r="A52" s="96"/>
      <c r="B52" s="96"/>
      <c r="C52" s="96"/>
      <c r="D52" s="96"/>
      <c r="E52" s="202"/>
      <c r="F52" s="96"/>
      <c r="G52" s="96"/>
      <c r="H52" s="96"/>
      <c r="I52" s="96"/>
      <c r="J52" s="96"/>
      <c r="K52" s="96"/>
      <c r="L52" s="96"/>
      <c r="M52" s="96"/>
      <c r="N52" s="96"/>
      <c r="O52" s="96"/>
    </row>
    <row r="53" spans="1:15" ht="15.75" customHeight="1" x14ac:dyDescent="0.3">
      <c r="A53" s="96"/>
      <c r="B53" s="96"/>
      <c r="C53" s="96"/>
      <c r="D53" s="96"/>
      <c r="E53" s="202"/>
      <c r="F53" s="96"/>
      <c r="G53" s="96"/>
      <c r="H53" s="96"/>
      <c r="I53" s="96"/>
      <c r="J53" s="96"/>
      <c r="K53" s="96"/>
      <c r="L53" s="96"/>
      <c r="M53" s="96"/>
      <c r="N53" s="96"/>
      <c r="O53" s="96"/>
    </row>
    <row r="54" spans="1:15" ht="15.75" customHeight="1" x14ac:dyDescent="0.3">
      <c r="A54" s="96"/>
      <c r="B54" s="96"/>
      <c r="C54" s="96"/>
      <c r="D54" s="96"/>
      <c r="E54" s="202"/>
      <c r="F54" s="96"/>
      <c r="G54" s="96"/>
      <c r="H54" s="96"/>
      <c r="I54" s="96"/>
      <c r="J54" s="96"/>
      <c r="K54" s="96"/>
      <c r="L54" s="96"/>
      <c r="M54" s="96"/>
      <c r="N54" s="96"/>
      <c r="O54" s="96"/>
    </row>
    <row r="55" spans="1:15" ht="15.75" customHeight="1" x14ac:dyDescent="0.3">
      <c r="A55" s="96"/>
      <c r="B55" s="96"/>
      <c r="C55" s="96"/>
      <c r="D55" s="96"/>
      <c r="E55" s="202"/>
      <c r="F55" s="96"/>
      <c r="G55" s="96"/>
      <c r="H55" s="96"/>
      <c r="I55" s="96"/>
      <c r="J55" s="96"/>
      <c r="K55" s="96"/>
      <c r="L55" s="96"/>
      <c r="M55" s="96"/>
      <c r="N55" s="96"/>
      <c r="O55" s="96"/>
    </row>
    <row r="56" spans="1:15" ht="15.75" customHeight="1" x14ac:dyDescent="0.3">
      <c r="A56" s="96"/>
      <c r="B56" s="96"/>
      <c r="C56" s="96"/>
      <c r="D56" s="96"/>
      <c r="E56" s="202"/>
      <c r="F56" s="96"/>
      <c r="G56" s="96"/>
      <c r="H56" s="96"/>
      <c r="I56" s="96"/>
      <c r="J56" s="96"/>
      <c r="K56" s="96"/>
      <c r="L56" s="96"/>
      <c r="M56" s="96"/>
      <c r="N56" s="96"/>
      <c r="O56" s="96"/>
    </row>
    <row r="57" spans="1:15" ht="15.75" customHeight="1" x14ac:dyDescent="0.3">
      <c r="A57" s="96"/>
      <c r="B57" s="96"/>
      <c r="C57" s="96"/>
      <c r="D57" s="96"/>
      <c r="E57" s="202"/>
      <c r="F57" s="96"/>
      <c r="G57" s="96"/>
      <c r="H57" s="96"/>
      <c r="I57" s="96"/>
      <c r="J57" s="96"/>
      <c r="K57" s="96"/>
      <c r="L57" s="96"/>
      <c r="M57" s="96"/>
      <c r="N57" s="96"/>
      <c r="O57" s="96"/>
    </row>
    <row r="58" spans="1:15" ht="15.75" customHeight="1" x14ac:dyDescent="0.3">
      <c r="A58" s="96"/>
      <c r="B58" s="96"/>
      <c r="C58" s="96"/>
      <c r="D58" s="96"/>
      <c r="E58" s="202"/>
      <c r="F58" s="96"/>
      <c r="G58" s="96"/>
      <c r="H58" s="96"/>
      <c r="I58" s="96"/>
      <c r="J58" s="96"/>
      <c r="K58" s="96"/>
      <c r="L58" s="96"/>
      <c r="M58" s="96"/>
      <c r="N58" s="96"/>
      <c r="O58" s="96"/>
    </row>
    <row r="59" spans="1:15" ht="15.75" customHeight="1" x14ac:dyDescent="0.3">
      <c r="A59" s="96"/>
      <c r="B59" s="96"/>
      <c r="C59" s="96"/>
      <c r="D59" s="96"/>
      <c r="E59" s="202"/>
      <c r="F59" s="96"/>
      <c r="G59" s="96"/>
      <c r="H59" s="96"/>
      <c r="I59" s="96"/>
      <c r="J59" s="96"/>
      <c r="K59" s="96"/>
      <c r="L59" s="96"/>
      <c r="M59" s="96"/>
      <c r="N59" s="96"/>
      <c r="O59" s="96"/>
    </row>
    <row r="60" spans="1:15" ht="15.75" customHeight="1" x14ac:dyDescent="0.3">
      <c r="A60" s="96"/>
      <c r="B60" s="96"/>
      <c r="C60" s="96"/>
      <c r="D60" s="96"/>
      <c r="E60" s="202"/>
      <c r="F60" s="96"/>
      <c r="G60" s="96"/>
      <c r="H60" s="96"/>
      <c r="I60" s="96"/>
      <c r="J60" s="96"/>
      <c r="K60" s="96"/>
      <c r="L60" s="96"/>
      <c r="M60" s="96"/>
      <c r="N60" s="96"/>
      <c r="O60" s="96"/>
    </row>
    <row r="61" spans="1:15" ht="15.75" customHeight="1" x14ac:dyDescent="0.3">
      <c r="A61" s="96"/>
      <c r="B61" s="96"/>
      <c r="C61" s="96"/>
      <c r="D61" s="96"/>
      <c r="E61" s="202"/>
      <c r="F61" s="96"/>
      <c r="G61" s="96"/>
      <c r="H61" s="96"/>
      <c r="I61" s="96"/>
      <c r="J61" s="96"/>
      <c r="K61" s="96"/>
      <c r="L61" s="96"/>
      <c r="M61" s="96"/>
      <c r="N61" s="96"/>
      <c r="O61" s="96"/>
    </row>
    <row r="62" spans="1:15" ht="15.75" customHeight="1" x14ac:dyDescent="0.3">
      <c r="A62" s="96"/>
      <c r="B62" s="96"/>
      <c r="C62" s="96"/>
      <c r="D62" s="96"/>
      <c r="E62" s="202"/>
      <c r="F62" s="96"/>
      <c r="G62" s="96"/>
      <c r="H62" s="96"/>
      <c r="I62" s="96"/>
      <c r="J62" s="96"/>
      <c r="K62" s="96"/>
      <c r="L62" s="96"/>
      <c r="M62" s="96"/>
      <c r="N62" s="96"/>
      <c r="O62" s="96"/>
    </row>
    <row r="63" spans="1:15" ht="15.75" customHeight="1" x14ac:dyDescent="0.3">
      <c r="A63" s="96"/>
      <c r="B63" s="96"/>
      <c r="C63" s="96"/>
      <c r="D63" s="96"/>
      <c r="E63" s="202"/>
      <c r="F63" s="96"/>
      <c r="G63" s="96"/>
      <c r="H63" s="96"/>
      <c r="I63" s="96"/>
      <c r="J63" s="96"/>
      <c r="K63" s="96"/>
      <c r="L63" s="96"/>
      <c r="M63" s="96"/>
      <c r="N63" s="96"/>
      <c r="O63" s="96"/>
    </row>
    <row r="64" spans="1:15" ht="15.75" customHeight="1" x14ac:dyDescent="0.3">
      <c r="A64" s="96"/>
      <c r="B64" s="96"/>
      <c r="C64" s="96"/>
      <c r="D64" s="96"/>
      <c r="E64" s="202"/>
      <c r="F64" s="96"/>
      <c r="G64" s="96"/>
      <c r="H64" s="96"/>
      <c r="I64" s="96"/>
      <c r="J64" s="96"/>
      <c r="K64" s="96"/>
      <c r="L64" s="96"/>
      <c r="M64" s="96"/>
      <c r="N64" s="96"/>
      <c r="O64" s="96"/>
    </row>
    <row r="65" spans="1:15" ht="15.75" customHeight="1" x14ac:dyDescent="0.3">
      <c r="A65" s="96"/>
      <c r="B65" s="96"/>
      <c r="C65" s="96"/>
      <c r="D65" s="96"/>
      <c r="E65" s="202"/>
      <c r="F65" s="96"/>
      <c r="G65" s="96"/>
      <c r="H65" s="96"/>
      <c r="I65" s="96"/>
      <c r="J65" s="96"/>
      <c r="K65" s="96"/>
      <c r="L65" s="96"/>
      <c r="M65" s="96"/>
      <c r="N65" s="96"/>
      <c r="O65" s="96"/>
    </row>
    <row r="66" spans="1:15" ht="15.75" customHeight="1" x14ac:dyDescent="0.3">
      <c r="A66" s="96"/>
      <c r="B66" s="96"/>
      <c r="C66" s="96"/>
      <c r="D66" s="96"/>
      <c r="E66" s="202"/>
      <c r="F66" s="96"/>
      <c r="G66" s="96"/>
      <c r="H66" s="96"/>
      <c r="I66" s="96"/>
      <c r="J66" s="96"/>
      <c r="K66" s="96"/>
      <c r="L66" s="96"/>
      <c r="M66" s="96"/>
      <c r="N66" s="96"/>
      <c r="O66" s="96"/>
    </row>
    <row r="67" spans="1:15" ht="15.75" customHeight="1" x14ac:dyDescent="0.3">
      <c r="A67" s="96"/>
      <c r="B67" s="96"/>
      <c r="C67" s="96"/>
      <c r="D67" s="96"/>
      <c r="E67" s="202"/>
      <c r="F67" s="96"/>
      <c r="G67" s="96"/>
      <c r="H67" s="96"/>
      <c r="I67" s="96"/>
      <c r="J67" s="96"/>
      <c r="K67" s="96"/>
      <c r="L67" s="96"/>
      <c r="M67" s="96"/>
      <c r="N67" s="96"/>
      <c r="O67" s="96"/>
    </row>
    <row r="68" spans="1:15" ht="15.75" customHeight="1" x14ac:dyDescent="0.3">
      <c r="A68" s="96"/>
      <c r="B68" s="96"/>
      <c r="C68" s="96"/>
      <c r="D68" s="96"/>
      <c r="E68" s="202"/>
      <c r="F68" s="96"/>
      <c r="G68" s="96"/>
      <c r="H68" s="96"/>
      <c r="I68" s="96"/>
      <c r="J68" s="96"/>
      <c r="K68" s="96"/>
      <c r="L68" s="96"/>
      <c r="M68" s="96"/>
      <c r="N68" s="96"/>
      <c r="O68" s="96"/>
    </row>
    <row r="69" spans="1:15" ht="15.75" customHeight="1" x14ac:dyDescent="0.3">
      <c r="A69" s="96"/>
      <c r="B69" s="96"/>
      <c r="C69" s="96"/>
      <c r="D69" s="96"/>
      <c r="E69" s="202"/>
      <c r="F69" s="96"/>
      <c r="G69" s="96"/>
      <c r="H69" s="96"/>
      <c r="I69" s="96"/>
      <c r="J69" s="96"/>
      <c r="K69" s="96"/>
      <c r="L69" s="96"/>
      <c r="M69" s="96"/>
      <c r="N69" s="96"/>
      <c r="O69" s="96"/>
    </row>
    <row r="70" spans="1:15" ht="15.75" customHeight="1" x14ac:dyDescent="0.3">
      <c r="A70" s="96"/>
      <c r="B70" s="96"/>
      <c r="C70" s="96"/>
      <c r="D70" s="96"/>
      <c r="E70" s="202"/>
      <c r="F70" s="96"/>
      <c r="G70" s="96"/>
      <c r="H70" s="96"/>
      <c r="I70" s="96"/>
      <c r="J70" s="96"/>
      <c r="K70" s="96"/>
      <c r="L70" s="96"/>
      <c r="M70" s="96"/>
      <c r="N70" s="96"/>
      <c r="O70" s="96"/>
    </row>
    <row r="71" spans="1:15" ht="15.75" customHeight="1" x14ac:dyDescent="0.3">
      <c r="A71" s="96"/>
      <c r="B71" s="96"/>
      <c r="C71" s="96"/>
      <c r="D71" s="96"/>
      <c r="E71" s="202"/>
      <c r="F71" s="96"/>
      <c r="G71" s="96"/>
      <c r="H71" s="96"/>
      <c r="I71" s="96"/>
      <c r="J71" s="96"/>
      <c r="K71" s="96"/>
      <c r="L71" s="96"/>
      <c r="M71" s="96"/>
      <c r="N71" s="96"/>
      <c r="O71" s="96"/>
    </row>
    <row r="72" spans="1:15" ht="15.75" customHeight="1" x14ac:dyDescent="0.3">
      <c r="A72" s="96"/>
      <c r="B72" s="96"/>
      <c r="C72" s="96"/>
      <c r="D72" s="96"/>
      <c r="E72" s="202"/>
      <c r="F72" s="96"/>
      <c r="G72" s="96"/>
      <c r="H72" s="96"/>
      <c r="I72" s="96"/>
      <c r="J72" s="96"/>
      <c r="K72" s="96"/>
      <c r="L72" s="96"/>
      <c r="M72" s="96"/>
      <c r="N72" s="96"/>
      <c r="O72" s="96"/>
    </row>
    <row r="73" spans="1:15" ht="15.75" customHeight="1" x14ac:dyDescent="0.3">
      <c r="A73" s="96"/>
      <c r="B73" s="96"/>
      <c r="C73" s="96"/>
      <c r="D73" s="96"/>
      <c r="E73" s="202"/>
      <c r="F73" s="96"/>
      <c r="G73" s="96"/>
      <c r="H73" s="96"/>
      <c r="I73" s="96"/>
      <c r="J73" s="96"/>
      <c r="K73" s="96"/>
      <c r="L73" s="96"/>
      <c r="M73" s="96"/>
      <c r="N73" s="96"/>
      <c r="O73" s="96"/>
    </row>
    <row r="74" spans="1:15" ht="15.75" customHeight="1" x14ac:dyDescent="0.3">
      <c r="A74" s="96"/>
      <c r="B74" s="96"/>
      <c r="C74" s="96"/>
      <c r="D74" s="96"/>
      <c r="E74" s="202"/>
      <c r="F74" s="96"/>
      <c r="G74" s="96"/>
      <c r="H74" s="96"/>
      <c r="I74" s="96"/>
      <c r="J74" s="96"/>
      <c r="K74" s="96"/>
      <c r="L74" s="96"/>
      <c r="M74" s="96"/>
      <c r="N74" s="96"/>
      <c r="O74" s="96"/>
    </row>
    <row r="75" spans="1:15" ht="15.75" customHeight="1" x14ac:dyDescent="0.3">
      <c r="A75" s="96"/>
      <c r="B75" s="96"/>
      <c r="C75" s="96"/>
      <c r="D75" s="96"/>
      <c r="E75" s="202"/>
      <c r="F75" s="96"/>
      <c r="G75" s="96"/>
      <c r="H75" s="96"/>
      <c r="I75" s="96"/>
      <c r="J75" s="96"/>
      <c r="K75" s="96"/>
      <c r="L75" s="96"/>
      <c r="M75" s="96"/>
      <c r="N75" s="96"/>
      <c r="O75" s="96"/>
    </row>
    <row r="76" spans="1:15" ht="15.75" customHeight="1" x14ac:dyDescent="0.3">
      <c r="A76" s="96"/>
      <c r="B76" s="96"/>
      <c r="C76" s="96"/>
      <c r="D76" s="96"/>
      <c r="E76" s="202"/>
      <c r="F76" s="96"/>
      <c r="G76" s="96"/>
      <c r="H76" s="96"/>
      <c r="I76" s="96"/>
      <c r="J76" s="96"/>
      <c r="K76" s="96"/>
      <c r="L76" s="96"/>
      <c r="M76" s="96"/>
      <c r="N76" s="96"/>
      <c r="O76" s="96"/>
    </row>
    <row r="77" spans="1:15" ht="15.75" customHeight="1" x14ac:dyDescent="0.3">
      <c r="A77" s="96"/>
      <c r="B77" s="96"/>
      <c r="C77" s="96"/>
      <c r="D77" s="96"/>
      <c r="E77" s="202"/>
      <c r="F77" s="96"/>
      <c r="G77" s="96"/>
      <c r="H77" s="96"/>
      <c r="I77" s="96"/>
      <c r="J77" s="96"/>
      <c r="K77" s="96"/>
      <c r="L77" s="96"/>
      <c r="M77" s="96"/>
      <c r="N77" s="96"/>
      <c r="O77" s="96"/>
    </row>
    <row r="78" spans="1:15" ht="15.75" customHeight="1" x14ac:dyDescent="0.3">
      <c r="A78" s="96"/>
      <c r="B78" s="96"/>
      <c r="C78" s="96"/>
      <c r="D78" s="96"/>
      <c r="E78" s="202"/>
      <c r="F78" s="96"/>
      <c r="G78" s="96"/>
      <c r="H78" s="96"/>
      <c r="I78" s="96"/>
      <c r="J78" s="96"/>
      <c r="K78" s="96"/>
      <c r="L78" s="96"/>
      <c r="M78" s="96"/>
      <c r="N78" s="96"/>
      <c r="O78" s="96"/>
    </row>
    <row r="79" spans="1:15" ht="15.75" customHeight="1" x14ac:dyDescent="0.3">
      <c r="A79" s="96"/>
      <c r="B79" s="96"/>
      <c r="C79" s="96"/>
      <c r="D79" s="96"/>
      <c r="E79" s="202"/>
      <c r="F79" s="96"/>
      <c r="G79" s="96"/>
      <c r="H79" s="96"/>
      <c r="I79" s="96"/>
      <c r="J79" s="96"/>
      <c r="K79" s="96"/>
      <c r="L79" s="96"/>
      <c r="M79" s="96"/>
      <c r="N79" s="96"/>
      <c r="O79" s="96"/>
    </row>
    <row r="80" spans="1:15" ht="15.75" customHeight="1" x14ac:dyDescent="0.3">
      <c r="A80" s="96"/>
      <c r="B80" s="96"/>
      <c r="C80" s="96"/>
      <c r="D80" s="96"/>
      <c r="E80" s="202"/>
      <c r="F80" s="96"/>
      <c r="G80" s="96"/>
      <c r="H80" s="96"/>
      <c r="I80" s="96"/>
      <c r="J80" s="96"/>
      <c r="K80" s="96"/>
      <c r="L80" s="96"/>
      <c r="M80" s="96"/>
      <c r="N80" s="96"/>
      <c r="O80" s="96"/>
    </row>
    <row r="81" spans="1:15" ht="15.75" customHeight="1" x14ac:dyDescent="0.3">
      <c r="A81" s="96"/>
      <c r="B81" s="96"/>
      <c r="C81" s="96"/>
      <c r="D81" s="96"/>
      <c r="E81" s="202"/>
      <c r="F81" s="96"/>
      <c r="G81" s="96"/>
      <c r="H81" s="96"/>
      <c r="I81" s="96"/>
      <c r="J81" s="96"/>
      <c r="K81" s="96"/>
      <c r="L81" s="96"/>
      <c r="M81" s="96"/>
      <c r="N81" s="96"/>
      <c r="O81" s="96"/>
    </row>
    <row r="82" spans="1:15" ht="15.75" customHeight="1" x14ac:dyDescent="0.3">
      <c r="A82" s="96"/>
      <c r="B82" s="96"/>
      <c r="C82" s="96"/>
      <c r="D82" s="96"/>
      <c r="E82" s="202"/>
      <c r="F82" s="96"/>
      <c r="G82" s="96"/>
      <c r="H82" s="96"/>
      <c r="I82" s="96"/>
      <c r="J82" s="96"/>
      <c r="K82" s="96"/>
      <c r="L82" s="96"/>
      <c r="M82" s="96"/>
      <c r="N82" s="96"/>
      <c r="O82" s="96"/>
    </row>
    <row r="83" spans="1:15" ht="15.75" customHeight="1" x14ac:dyDescent="0.3">
      <c r="A83" s="96"/>
      <c r="B83" s="96"/>
      <c r="C83" s="96"/>
      <c r="D83" s="96"/>
      <c r="E83" s="202"/>
      <c r="F83" s="96"/>
      <c r="G83" s="96"/>
      <c r="H83" s="96"/>
      <c r="I83" s="96"/>
      <c r="J83" s="96"/>
      <c r="K83" s="96"/>
      <c r="L83" s="96"/>
      <c r="M83" s="96"/>
      <c r="N83" s="96"/>
      <c r="O83" s="96"/>
    </row>
    <row r="84" spans="1:15" ht="15.75" customHeight="1" x14ac:dyDescent="0.3">
      <c r="A84" s="96"/>
      <c r="B84" s="96"/>
      <c r="C84" s="96"/>
      <c r="D84" s="96"/>
      <c r="E84" s="202"/>
      <c r="F84" s="96"/>
      <c r="G84" s="96"/>
      <c r="H84" s="96"/>
      <c r="I84" s="96"/>
      <c r="J84" s="96"/>
      <c r="K84" s="96"/>
      <c r="L84" s="96"/>
      <c r="M84" s="96"/>
      <c r="N84" s="96"/>
      <c r="O84" s="96"/>
    </row>
    <row r="85" spans="1:15" ht="15.75" customHeight="1" x14ac:dyDescent="0.3">
      <c r="A85" s="96"/>
      <c r="B85" s="96"/>
      <c r="C85" s="96"/>
      <c r="D85" s="96"/>
      <c r="E85" s="202"/>
      <c r="F85" s="96"/>
      <c r="G85" s="96"/>
      <c r="H85" s="96"/>
      <c r="I85" s="96"/>
      <c r="J85" s="96"/>
      <c r="K85" s="96"/>
      <c r="L85" s="96"/>
      <c r="M85" s="96"/>
      <c r="N85" s="96"/>
      <c r="O85" s="96"/>
    </row>
    <row r="86" spans="1:15" ht="15.75" customHeight="1" x14ac:dyDescent="0.3">
      <c r="A86" s="96"/>
      <c r="B86" s="96"/>
      <c r="C86" s="96"/>
      <c r="D86" s="96"/>
      <c r="E86" s="202"/>
      <c r="F86" s="96"/>
      <c r="G86" s="96"/>
      <c r="H86" s="96"/>
      <c r="I86" s="96"/>
      <c r="J86" s="96"/>
      <c r="K86" s="96"/>
      <c r="L86" s="96"/>
      <c r="M86" s="96"/>
      <c r="N86" s="96"/>
      <c r="O86" s="96"/>
    </row>
    <row r="87" spans="1:15" ht="15.75" customHeight="1" x14ac:dyDescent="0.3">
      <c r="A87" s="96"/>
      <c r="B87" s="96"/>
      <c r="C87" s="96"/>
      <c r="D87" s="96"/>
      <c r="E87" s="202"/>
      <c r="F87" s="96"/>
      <c r="G87" s="96"/>
      <c r="H87" s="96"/>
      <c r="I87" s="96"/>
      <c r="J87" s="96"/>
      <c r="K87" s="96"/>
      <c r="L87" s="96"/>
      <c r="M87" s="96"/>
      <c r="N87" s="96"/>
      <c r="O87" s="96"/>
    </row>
    <row r="88" spans="1:15" ht="15.75" customHeight="1" x14ac:dyDescent="0.3">
      <c r="A88" s="96"/>
      <c r="B88" s="96"/>
      <c r="C88" s="96"/>
      <c r="D88" s="96"/>
      <c r="E88" s="202"/>
      <c r="F88" s="96"/>
      <c r="G88" s="96"/>
      <c r="H88" s="96"/>
      <c r="I88" s="96"/>
      <c r="J88" s="96"/>
      <c r="K88" s="96"/>
      <c r="L88" s="96"/>
      <c r="M88" s="96"/>
      <c r="N88" s="96"/>
      <c r="O88" s="96"/>
    </row>
    <row r="89" spans="1:15" ht="15.75" customHeight="1" x14ac:dyDescent="0.3">
      <c r="A89" s="96"/>
      <c r="B89" s="96"/>
      <c r="C89" s="96"/>
      <c r="D89" s="96"/>
      <c r="E89" s="202"/>
      <c r="F89" s="96"/>
      <c r="G89" s="96"/>
      <c r="H89" s="96"/>
      <c r="I89" s="96"/>
      <c r="J89" s="96"/>
      <c r="K89" s="96"/>
      <c r="L89" s="96"/>
      <c r="M89" s="96"/>
      <c r="N89" s="96"/>
      <c r="O89" s="96"/>
    </row>
    <row r="90" spans="1:15" ht="15.75" customHeight="1" x14ac:dyDescent="0.3">
      <c r="A90" s="96"/>
      <c r="B90" s="96"/>
      <c r="C90" s="96"/>
      <c r="D90" s="96"/>
      <c r="E90" s="202"/>
      <c r="F90" s="96"/>
      <c r="G90" s="96"/>
      <c r="H90" s="96"/>
      <c r="I90" s="96"/>
      <c r="J90" s="96"/>
      <c r="K90" s="96"/>
      <c r="L90" s="96"/>
      <c r="M90" s="96"/>
      <c r="N90" s="96"/>
      <c r="O90" s="96"/>
    </row>
    <row r="91" spans="1:15" ht="15.75" customHeight="1" x14ac:dyDescent="0.3">
      <c r="A91" s="96"/>
      <c r="B91" s="96"/>
      <c r="C91" s="96"/>
      <c r="D91" s="96"/>
      <c r="E91" s="202"/>
      <c r="F91" s="96"/>
      <c r="G91" s="96"/>
      <c r="H91" s="96"/>
      <c r="I91" s="96"/>
      <c r="J91" s="96"/>
      <c r="K91" s="96"/>
      <c r="L91" s="96"/>
      <c r="M91" s="96"/>
      <c r="N91" s="96"/>
      <c r="O91" s="96"/>
    </row>
    <row r="92" spans="1:15" ht="15.75" customHeight="1" x14ac:dyDescent="0.3">
      <c r="A92" s="96"/>
      <c r="B92" s="96"/>
      <c r="C92" s="96"/>
      <c r="D92" s="96"/>
      <c r="E92" s="202"/>
      <c r="F92" s="96"/>
      <c r="G92" s="96"/>
      <c r="H92" s="96"/>
      <c r="I92" s="96"/>
      <c r="J92" s="96"/>
      <c r="K92" s="96"/>
      <c r="L92" s="96"/>
      <c r="M92" s="96"/>
      <c r="N92" s="96"/>
      <c r="O92" s="96"/>
    </row>
    <row r="93" spans="1:15" ht="15.75" customHeight="1" x14ac:dyDescent="0.3">
      <c r="A93" s="96"/>
      <c r="B93" s="96"/>
      <c r="C93" s="96"/>
      <c r="D93" s="96"/>
      <c r="E93" s="202"/>
      <c r="F93" s="96"/>
      <c r="G93" s="96"/>
      <c r="H93" s="96"/>
      <c r="I93" s="96"/>
      <c r="J93" s="96"/>
      <c r="K93" s="96"/>
      <c r="L93" s="96"/>
      <c r="M93" s="96"/>
      <c r="N93" s="96"/>
      <c r="O93" s="96"/>
    </row>
    <row r="94" spans="1:15" ht="15.75" customHeight="1" x14ac:dyDescent="0.3">
      <c r="A94" s="96"/>
      <c r="B94" s="96"/>
      <c r="C94" s="96"/>
      <c r="D94" s="96"/>
      <c r="E94" s="202"/>
      <c r="F94" s="96"/>
      <c r="G94" s="96"/>
      <c r="H94" s="96"/>
      <c r="I94" s="96"/>
      <c r="J94" s="96"/>
      <c r="K94" s="96"/>
      <c r="L94" s="96"/>
      <c r="M94" s="96"/>
      <c r="N94" s="96"/>
      <c r="O94" s="96"/>
    </row>
    <row r="95" spans="1:15" ht="15.75" customHeight="1" x14ac:dyDescent="0.3">
      <c r="A95" s="96"/>
      <c r="B95" s="96"/>
      <c r="C95" s="96"/>
      <c r="D95" s="96"/>
      <c r="E95" s="202"/>
      <c r="F95" s="96"/>
      <c r="G95" s="96"/>
      <c r="H95" s="96"/>
      <c r="I95" s="96"/>
      <c r="J95" s="96"/>
      <c r="K95" s="96"/>
      <c r="L95" s="96"/>
      <c r="M95" s="96"/>
      <c r="N95" s="96"/>
      <c r="O95" s="96"/>
    </row>
    <row r="96" spans="1:15" ht="15.75" customHeight="1" x14ac:dyDescent="0.3">
      <c r="A96" s="96"/>
      <c r="B96" s="96"/>
      <c r="C96" s="96"/>
      <c r="D96" s="96"/>
      <c r="E96" s="202"/>
      <c r="F96" s="96"/>
      <c r="G96" s="96"/>
      <c r="H96" s="96"/>
      <c r="I96" s="96"/>
      <c r="J96" s="96"/>
      <c r="K96" s="96"/>
      <c r="L96" s="96"/>
      <c r="M96" s="96"/>
      <c r="N96" s="96"/>
      <c r="O96" s="96"/>
    </row>
    <row r="97" spans="1:15" ht="15.75" customHeight="1" x14ac:dyDescent="0.3">
      <c r="A97" s="96"/>
      <c r="B97" s="96"/>
      <c r="C97" s="96"/>
      <c r="D97" s="96"/>
      <c r="E97" s="202"/>
      <c r="F97" s="96"/>
      <c r="G97" s="96"/>
      <c r="H97" s="96"/>
      <c r="I97" s="96"/>
      <c r="J97" s="96"/>
      <c r="K97" s="96"/>
      <c r="L97" s="96"/>
      <c r="M97" s="96"/>
      <c r="N97" s="96"/>
      <c r="O97" s="96"/>
    </row>
    <row r="98" spans="1:15" ht="15.75" customHeight="1" x14ac:dyDescent="0.3">
      <c r="A98" s="96"/>
      <c r="B98" s="96"/>
      <c r="C98" s="96"/>
      <c r="D98" s="96"/>
      <c r="E98" s="202"/>
      <c r="F98" s="96"/>
      <c r="G98" s="96"/>
      <c r="H98" s="96"/>
      <c r="I98" s="96"/>
      <c r="J98" s="96"/>
      <c r="K98" s="96"/>
      <c r="L98" s="96"/>
      <c r="M98" s="96"/>
      <c r="N98" s="96"/>
      <c r="O98" s="96"/>
    </row>
    <row r="99" spans="1:15" ht="15.75" customHeight="1" x14ac:dyDescent="0.3">
      <c r="A99" s="96"/>
      <c r="B99" s="96"/>
      <c r="C99" s="96"/>
      <c r="D99" s="96"/>
      <c r="E99" s="202"/>
      <c r="F99" s="96"/>
      <c r="G99" s="96"/>
      <c r="H99" s="96"/>
      <c r="I99" s="96"/>
      <c r="J99" s="96"/>
      <c r="K99" s="96"/>
      <c r="L99" s="96"/>
      <c r="M99" s="96"/>
      <c r="N99" s="96"/>
      <c r="O99" s="96"/>
    </row>
    <row r="100" spans="1:15" ht="15.75" customHeight="1" x14ac:dyDescent="0.3">
      <c r="A100" s="96"/>
      <c r="B100" s="96"/>
      <c r="C100" s="96"/>
      <c r="D100" s="96"/>
      <c r="E100" s="202"/>
      <c r="F100" s="96"/>
      <c r="G100" s="96"/>
      <c r="H100" s="96"/>
      <c r="I100" s="96"/>
      <c r="J100" s="96"/>
      <c r="K100" s="96"/>
      <c r="L100" s="96"/>
      <c r="M100" s="96"/>
      <c r="N100" s="96"/>
      <c r="O100" s="96"/>
    </row>
  </sheetData>
  <mergeCells count="57">
    <mergeCell ref="D3:I3"/>
    <mergeCell ref="C9:K9"/>
    <mergeCell ref="C17:J17"/>
    <mergeCell ref="C26:G26"/>
    <mergeCell ref="H28:I28"/>
    <mergeCell ref="H23:I23"/>
    <mergeCell ref="H24:I24"/>
    <mergeCell ref="C27:G27"/>
    <mergeCell ref="C28:G28"/>
    <mergeCell ref="H5:J5"/>
    <mergeCell ref="H7:J7"/>
    <mergeCell ref="H26:I26"/>
    <mergeCell ref="H27:I27"/>
    <mergeCell ref="H16:I16"/>
    <mergeCell ref="H12:I12"/>
    <mergeCell ref="K5:L5"/>
    <mergeCell ref="C22:G22"/>
    <mergeCell ref="C23:G23"/>
    <mergeCell ref="C24:G24"/>
    <mergeCell ref="C25:L25"/>
    <mergeCell ref="C21:L21"/>
    <mergeCell ref="H22:I22"/>
    <mergeCell ref="C11:G11"/>
    <mergeCell ref="C16:G16"/>
    <mergeCell ref="C15:G15"/>
    <mergeCell ref="C14:G14"/>
    <mergeCell ref="C13:G13"/>
    <mergeCell ref="C12:G12"/>
    <mergeCell ref="H13:I13"/>
    <mergeCell ref="H14:I14"/>
    <mergeCell ref="H15:I15"/>
    <mergeCell ref="H11:I11"/>
    <mergeCell ref="D5:F5"/>
    <mergeCell ref="H42:I42"/>
    <mergeCell ref="C42:G42"/>
    <mergeCell ref="H37:I37"/>
    <mergeCell ref="C20:L20"/>
    <mergeCell ref="C19:G19"/>
    <mergeCell ref="H19:I19"/>
    <mergeCell ref="C36:G36"/>
    <mergeCell ref="H36:I36"/>
    <mergeCell ref="C30:G30"/>
    <mergeCell ref="C31:G31"/>
    <mergeCell ref="H30:I30"/>
    <mergeCell ref="H31:I31"/>
    <mergeCell ref="C29:L29"/>
    <mergeCell ref="C37:G37"/>
    <mergeCell ref="C38:G38"/>
    <mergeCell ref="H38:I38"/>
    <mergeCell ref="C39:J39"/>
    <mergeCell ref="C32:G32"/>
    <mergeCell ref="C33:L33"/>
    <mergeCell ref="C34:G34"/>
    <mergeCell ref="C35:G35"/>
    <mergeCell ref="H34:I34"/>
    <mergeCell ref="H35:I35"/>
    <mergeCell ref="H32:I32"/>
  </mergeCells>
  <conditionalFormatting sqref="H42:I42">
    <cfRule type="containsText" dxfId="57" priority="1" operator="containsText" text="Excédent">
      <formula>NOT(ISERROR(SEARCH(("Excédent"),(H42))))</formula>
    </cfRule>
    <cfRule type="containsText" dxfId="56" priority="2" operator="containsText" text="Manquant">
      <formula>NOT(ISERROR(SEARCH(("Manquant"),(H42))))</formula>
    </cfRule>
  </conditionalFormatting>
  <pageMargins left="0.51181102362204722" right="0.51181102362204722" top="0.74803149606299213" bottom="0.74803149606299213" header="0" footer="0"/>
  <pageSetup scale="78" orientation="portrait"/>
  <headerFooter>
    <oddFooter>&amp;LGrille d’analyse de crédit agricole développé par DID&amp;C_x000D_#000000 Usage Interne</oddFooter>
  </headerFooter>
  <drawing r:id="rId1"/>
  <legacyDrawing r:id="rId2"/>
  <extLst>
    <ext xmlns:x14="http://schemas.microsoft.com/office/spreadsheetml/2009/9/main" uri="{CCE6A557-97BC-4b89-ADB6-D9C93CAAB3DF}">
      <x14:dataValidations xmlns:xm="http://schemas.microsoft.com/office/excel/2006/main" count="1">
        <x14:dataValidation type="list" allowBlank="1" xr:uid="{00000000-0002-0000-0700-000000000000}">
          <x14:formula1>
            <xm:f>PARAMETRAGE!$CP$1:$CP$6</xm:f>
          </x14:formula1>
          <xm:sqref>C12:C16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3:Q100"/>
  <sheetViews>
    <sheetView showGridLines="0" topLeftCell="A36" workbookViewId="0">
      <selection activeCell="P48" sqref="P48"/>
    </sheetView>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1.109375" customWidth="1"/>
    <col min="6" max="6" width="6.5546875" customWidth="1"/>
    <col min="7" max="7" width="9.88671875" customWidth="1"/>
    <col min="8" max="9" width="8.109375" customWidth="1"/>
    <col min="10" max="10" width="1.109375" customWidth="1"/>
    <col min="11" max="11" width="19" customWidth="1"/>
    <col min="12" max="12" width="1.109375" customWidth="1"/>
    <col min="13" max="13" width="17.88671875" customWidth="1"/>
    <col min="14" max="14" width="24" customWidth="1"/>
    <col min="15" max="17" width="10.88671875" customWidth="1"/>
  </cols>
  <sheetData>
    <row r="3" spans="1:17" ht="17.399999999999999" x14ac:dyDescent="0.35">
      <c r="B3" s="432" t="s">
        <v>535</v>
      </c>
      <c r="C3" s="399"/>
      <c r="D3" s="399"/>
      <c r="E3" s="399"/>
      <c r="F3" s="399"/>
      <c r="G3" s="487" t="str">
        <f>'1. DEMANDE'!H15</f>
        <v>MARIAMA KABA</v>
      </c>
      <c r="H3" s="382"/>
      <c r="I3" s="382"/>
      <c r="J3" s="382"/>
      <c r="K3" s="383"/>
      <c r="M3" s="60" t="s">
        <v>429</v>
      </c>
      <c r="N3" s="150" t="str">
        <f>'1. DEMANDE'!AD5</f>
        <v>FORECARIAH</v>
      </c>
    </row>
    <row r="4" spans="1:17" ht="12.75" customHeight="1" x14ac:dyDescent="0.35">
      <c r="B4" s="73"/>
      <c r="C4" s="73"/>
      <c r="D4" s="73"/>
      <c r="E4" s="73"/>
      <c r="F4" s="73"/>
      <c r="G4" s="73"/>
      <c r="H4" s="73"/>
      <c r="I4" s="73"/>
      <c r="J4" s="73"/>
      <c r="K4" s="73"/>
      <c r="L4" s="73"/>
      <c r="M4" s="73"/>
      <c r="N4" s="73"/>
    </row>
    <row r="5" spans="1:17" ht="17.399999999999999" x14ac:dyDescent="0.35">
      <c r="B5" s="432" t="s">
        <v>536</v>
      </c>
      <c r="C5" s="399"/>
      <c r="D5" s="399"/>
      <c r="E5" s="399"/>
      <c r="F5" s="399"/>
      <c r="G5" s="547">
        <f>'1. DEMANDE'!AH15</f>
        <v>10300181501</v>
      </c>
      <c r="H5" s="383"/>
      <c r="I5" s="57"/>
      <c r="J5" s="431" t="s">
        <v>433</v>
      </c>
      <c r="K5" s="399"/>
      <c r="L5" s="64"/>
      <c r="M5" s="487" t="str">
        <f>'1. DEMANDE'!AD7</f>
        <v>MOHAMED MMAH CAMARA</v>
      </c>
      <c r="N5" s="383"/>
    </row>
    <row r="6" spans="1:17" ht="12" customHeight="1" x14ac:dyDescent="0.3">
      <c r="N6" s="112"/>
    </row>
    <row r="7" spans="1:17" ht="17.399999999999999" x14ac:dyDescent="0.3">
      <c r="K7" s="60" t="s">
        <v>515</v>
      </c>
      <c r="L7" s="60"/>
      <c r="M7" s="226">
        <f>'3. BILAN'!J6</f>
        <v>46093</v>
      </c>
    </row>
    <row r="8" spans="1:17" ht="12" customHeight="1" x14ac:dyDescent="0.3">
      <c r="K8" s="60"/>
      <c r="L8" s="60"/>
    </row>
    <row r="9" spans="1:17" ht="18" x14ac:dyDescent="0.35">
      <c r="B9" s="227" t="s">
        <v>613</v>
      </c>
      <c r="C9" s="67" t="s">
        <v>614</v>
      </c>
      <c r="D9" s="67"/>
      <c r="E9" s="67"/>
      <c r="F9" s="67"/>
      <c r="G9" s="67"/>
      <c r="H9" s="67"/>
      <c r="I9" s="67"/>
      <c r="J9" s="67"/>
      <c r="K9" s="228"/>
      <c r="L9" s="228"/>
      <c r="M9" s="67"/>
      <c r="N9" s="229"/>
    </row>
    <row r="10" spans="1:17" ht="4.5" customHeight="1" x14ac:dyDescent="0.3">
      <c r="B10" s="70"/>
      <c r="N10" s="71"/>
    </row>
    <row r="11" spans="1:17" ht="18" customHeight="1" x14ac:dyDescent="0.3">
      <c r="B11" s="557" t="s">
        <v>615</v>
      </c>
      <c r="C11" s="556" t="s">
        <v>616</v>
      </c>
      <c r="D11" s="464"/>
      <c r="E11" s="464"/>
      <c r="F11" s="464"/>
      <c r="G11" s="464"/>
      <c r="H11" s="464"/>
      <c r="I11" s="464"/>
      <c r="J11" s="496"/>
      <c r="K11" s="230" t="s">
        <v>617</v>
      </c>
      <c r="L11" s="553" t="s">
        <v>618</v>
      </c>
      <c r="M11" s="554"/>
      <c r="N11" s="551" t="s">
        <v>583</v>
      </c>
    </row>
    <row r="12" spans="1:17" ht="14.4" x14ac:dyDescent="0.3">
      <c r="B12" s="558"/>
      <c r="C12" s="529"/>
      <c r="D12" s="527"/>
      <c r="E12" s="527"/>
      <c r="F12" s="527"/>
      <c r="G12" s="527"/>
      <c r="H12" s="527"/>
      <c r="I12" s="527"/>
      <c r="J12" s="530"/>
      <c r="K12" s="231" t="str">
        <f>IF('3. BILAN'!I11="","",'3. BILAN'!I11)</f>
        <v/>
      </c>
      <c r="L12" s="550" t="str">
        <f>IF('3. BILAN'!J11="","",'3. BILAN'!J11)</f>
        <v/>
      </c>
      <c r="M12" s="408"/>
      <c r="N12" s="535"/>
    </row>
    <row r="13" spans="1:17" ht="15.6" x14ac:dyDescent="0.3">
      <c r="A13" s="96"/>
      <c r="B13" s="232">
        <v>37</v>
      </c>
      <c r="C13" s="546" t="s">
        <v>619</v>
      </c>
      <c r="D13" s="407"/>
      <c r="E13" s="407"/>
      <c r="F13" s="407"/>
      <c r="G13" s="407"/>
      <c r="H13" s="407"/>
      <c r="I13" s="407"/>
      <c r="J13" s="408"/>
      <c r="K13" s="233">
        <f>PARAMETRAGE!G6</f>
        <v>1700000000</v>
      </c>
      <c r="L13" s="552"/>
      <c r="M13" s="408"/>
      <c r="N13" s="234"/>
      <c r="O13" s="96"/>
      <c r="P13" s="96"/>
      <c r="Q13" s="96"/>
    </row>
    <row r="14" spans="1:17" ht="15.6" x14ac:dyDescent="0.3">
      <c r="A14" s="96"/>
      <c r="B14" s="232">
        <v>38</v>
      </c>
      <c r="C14" s="546" t="str">
        <f>IF('1. DEMANDE'!G30="","Coût de production",IF('1. DEMANDE'!G30="AGRICULTURE","Coût de production",IF('1. DEMANDE'!R30="Commercialisation","Coût d'achats de produits agricoles","Coût d'achat/production")))</f>
        <v>Coût de production</v>
      </c>
      <c r="D14" s="407"/>
      <c r="E14" s="407"/>
      <c r="F14" s="407"/>
      <c r="G14" s="407"/>
      <c r="H14" s="407"/>
      <c r="I14" s="407"/>
      <c r="J14" s="408"/>
      <c r="K14" s="233">
        <f>PARAMETRAGE!F6</f>
        <v>922680000</v>
      </c>
      <c r="L14" s="548"/>
      <c r="M14" s="408"/>
      <c r="N14" s="234"/>
      <c r="O14" s="96"/>
      <c r="P14" s="96"/>
      <c r="Q14" s="96"/>
    </row>
    <row r="15" spans="1:17" ht="15.6" x14ac:dyDescent="0.3">
      <c r="A15" s="96"/>
      <c r="B15" s="232">
        <v>39</v>
      </c>
      <c r="C15" s="545" t="str">
        <f>IF('1. DEMANDE'!G30="","Marge brute sur coût de production (37-38)",IF('1. DEMANDE'!R30="Production_végétale","Marge brute sur coût de production (37-38)","Marge brute (37-38)"))</f>
        <v>Marge brute sur coût de production (37-38)</v>
      </c>
      <c r="D15" s="407"/>
      <c r="E15" s="407"/>
      <c r="F15" s="407"/>
      <c r="G15" s="407"/>
      <c r="H15" s="407"/>
      <c r="I15" s="407"/>
      <c r="J15" s="408"/>
      <c r="K15" s="235">
        <f>K13-K14</f>
        <v>777320000</v>
      </c>
      <c r="L15" s="555">
        <f>M13-M14</f>
        <v>0</v>
      </c>
      <c r="M15" s="408"/>
      <c r="N15" s="236"/>
      <c r="O15" s="96"/>
      <c r="P15" s="96"/>
      <c r="Q15" s="96"/>
    </row>
    <row r="16" spans="1:17" ht="15.6" x14ac:dyDescent="0.3">
      <c r="A16" s="96"/>
      <c r="B16" s="232">
        <v>40</v>
      </c>
      <c r="C16" s="562" t="s">
        <v>620</v>
      </c>
      <c r="D16" s="549"/>
      <c r="E16" s="407"/>
      <c r="F16" s="407"/>
      <c r="G16" s="407"/>
      <c r="H16" s="407"/>
      <c r="I16" s="407"/>
      <c r="J16" s="408"/>
      <c r="K16" s="237"/>
      <c r="L16" s="548"/>
      <c r="M16" s="408"/>
      <c r="N16" s="234"/>
      <c r="O16" s="96"/>
      <c r="P16" s="96"/>
      <c r="Q16" s="96"/>
    </row>
    <row r="17" spans="1:17" ht="15.6" x14ac:dyDescent="0.3">
      <c r="A17" s="96"/>
      <c r="B17" s="232">
        <v>41</v>
      </c>
      <c r="C17" s="563"/>
      <c r="D17" s="549"/>
      <c r="E17" s="407"/>
      <c r="F17" s="407"/>
      <c r="G17" s="407"/>
      <c r="H17" s="407"/>
      <c r="I17" s="407"/>
      <c r="J17" s="408"/>
      <c r="K17" s="237"/>
      <c r="L17" s="548"/>
      <c r="M17" s="408"/>
      <c r="N17" s="234"/>
      <c r="O17" s="96"/>
      <c r="P17" s="96"/>
      <c r="Q17" s="96"/>
    </row>
    <row r="18" spans="1:17" ht="15.6" x14ac:dyDescent="0.3">
      <c r="A18" s="96"/>
      <c r="B18" s="232">
        <v>42</v>
      </c>
      <c r="C18" s="563"/>
      <c r="D18" s="549"/>
      <c r="E18" s="407"/>
      <c r="F18" s="407"/>
      <c r="G18" s="407"/>
      <c r="H18" s="407"/>
      <c r="I18" s="407"/>
      <c r="J18" s="408"/>
      <c r="K18" s="237"/>
      <c r="L18" s="548"/>
      <c r="M18" s="408"/>
      <c r="N18" s="234"/>
      <c r="O18" s="96"/>
      <c r="P18" s="96"/>
      <c r="Q18" s="96"/>
    </row>
    <row r="19" spans="1:17" ht="15.6" x14ac:dyDescent="0.3">
      <c r="A19" s="96"/>
      <c r="B19" s="232">
        <v>43</v>
      </c>
      <c r="C19" s="563"/>
      <c r="D19" s="549"/>
      <c r="E19" s="407"/>
      <c r="F19" s="407"/>
      <c r="G19" s="407"/>
      <c r="H19" s="407"/>
      <c r="I19" s="407"/>
      <c r="J19" s="408"/>
      <c r="K19" s="237"/>
      <c r="L19" s="548"/>
      <c r="M19" s="408"/>
      <c r="N19" s="234"/>
      <c r="O19" s="96"/>
      <c r="P19" s="96"/>
      <c r="Q19" s="96"/>
    </row>
    <row r="20" spans="1:17" ht="15.6" x14ac:dyDescent="0.3">
      <c r="A20" s="96"/>
      <c r="B20" s="232">
        <v>44</v>
      </c>
      <c r="C20" s="563"/>
      <c r="D20" s="549"/>
      <c r="E20" s="407"/>
      <c r="F20" s="407"/>
      <c r="G20" s="407"/>
      <c r="H20" s="407"/>
      <c r="I20" s="407"/>
      <c r="J20" s="408"/>
      <c r="K20" s="238"/>
      <c r="L20" s="548"/>
      <c r="M20" s="408"/>
      <c r="N20" s="234"/>
      <c r="O20" s="96"/>
      <c r="P20" s="96"/>
      <c r="Q20" s="96"/>
    </row>
    <row r="21" spans="1:17" ht="15.75" customHeight="1" x14ac:dyDescent="0.3">
      <c r="A21" s="96"/>
      <c r="B21" s="232">
        <v>45</v>
      </c>
      <c r="C21" s="563"/>
      <c r="D21" s="549"/>
      <c r="E21" s="407"/>
      <c r="F21" s="407"/>
      <c r="G21" s="407"/>
      <c r="H21" s="407"/>
      <c r="I21" s="407"/>
      <c r="J21" s="408"/>
      <c r="K21" s="237"/>
      <c r="L21" s="548"/>
      <c r="M21" s="408"/>
      <c r="N21" s="234"/>
      <c r="O21" s="96"/>
      <c r="P21" s="96"/>
      <c r="Q21" s="96"/>
    </row>
    <row r="22" spans="1:17" ht="15.75" customHeight="1" x14ac:dyDescent="0.3">
      <c r="A22" s="96"/>
      <c r="B22" s="232">
        <v>46</v>
      </c>
      <c r="C22" s="563"/>
      <c r="D22" s="549"/>
      <c r="E22" s="407"/>
      <c r="F22" s="407"/>
      <c r="G22" s="407"/>
      <c r="H22" s="407"/>
      <c r="I22" s="407"/>
      <c r="J22" s="408"/>
      <c r="K22" s="237"/>
      <c r="L22" s="548"/>
      <c r="M22" s="408"/>
      <c r="N22" s="234"/>
      <c r="O22" s="96"/>
      <c r="P22" s="96"/>
      <c r="Q22" s="96"/>
    </row>
    <row r="23" spans="1:17" ht="15.75" customHeight="1" x14ac:dyDescent="0.3">
      <c r="A23" s="96"/>
      <c r="B23" s="232">
        <v>47</v>
      </c>
      <c r="C23" s="563"/>
      <c r="D23" s="549"/>
      <c r="E23" s="407"/>
      <c r="F23" s="407"/>
      <c r="G23" s="407"/>
      <c r="H23" s="407"/>
      <c r="I23" s="407"/>
      <c r="J23" s="408"/>
      <c r="K23" s="237"/>
      <c r="L23" s="548"/>
      <c r="M23" s="408"/>
      <c r="N23" s="234"/>
      <c r="O23" s="96"/>
      <c r="P23" s="96"/>
      <c r="Q23" s="96"/>
    </row>
    <row r="24" spans="1:17" ht="15.75" customHeight="1" x14ac:dyDescent="0.3">
      <c r="A24" s="96"/>
      <c r="B24" s="232">
        <v>48</v>
      </c>
      <c r="C24" s="563"/>
      <c r="D24" s="549"/>
      <c r="E24" s="407"/>
      <c r="F24" s="407"/>
      <c r="G24" s="407"/>
      <c r="H24" s="407"/>
      <c r="I24" s="407"/>
      <c r="J24" s="408"/>
      <c r="K24" s="237"/>
      <c r="L24" s="548"/>
      <c r="M24" s="408"/>
      <c r="N24" s="234"/>
      <c r="O24" s="96"/>
      <c r="P24" s="96"/>
      <c r="Q24" s="96"/>
    </row>
    <row r="25" spans="1:17" ht="15.75" customHeight="1" x14ac:dyDescent="0.3">
      <c r="A25" s="96"/>
      <c r="B25" s="232">
        <v>49</v>
      </c>
      <c r="C25" s="563"/>
      <c r="D25" s="549"/>
      <c r="E25" s="407"/>
      <c r="F25" s="407"/>
      <c r="G25" s="407"/>
      <c r="H25" s="407"/>
      <c r="I25" s="407"/>
      <c r="J25" s="408"/>
      <c r="K25" s="237"/>
      <c r="L25" s="552"/>
      <c r="M25" s="408"/>
      <c r="N25" s="234"/>
      <c r="O25" s="96"/>
      <c r="P25" s="96"/>
      <c r="Q25" s="96"/>
    </row>
    <row r="26" spans="1:17" ht="15.75" customHeight="1" x14ac:dyDescent="0.3">
      <c r="A26" s="96"/>
      <c r="B26" s="232">
        <v>50</v>
      </c>
      <c r="C26" s="563"/>
      <c r="D26" s="545" t="s">
        <v>621</v>
      </c>
      <c r="E26" s="407"/>
      <c r="F26" s="407"/>
      <c r="G26" s="407"/>
      <c r="H26" s="407"/>
      <c r="I26" s="407"/>
      <c r="J26" s="408"/>
      <c r="K26" s="239">
        <f t="shared" ref="K26:L26" si="0">SUM(K16:K25)</f>
        <v>0</v>
      </c>
      <c r="L26" s="555">
        <f t="shared" si="0"/>
        <v>0</v>
      </c>
      <c r="M26" s="408"/>
      <c r="N26" s="234"/>
      <c r="O26" s="96"/>
      <c r="P26" s="96"/>
      <c r="Q26" s="96"/>
    </row>
    <row r="27" spans="1:17" ht="15.75" customHeight="1" x14ac:dyDescent="0.3">
      <c r="A27" s="96"/>
      <c r="B27" s="232">
        <v>51</v>
      </c>
      <c r="C27" s="546" t="str">
        <f>IF(PARAMETRAGE!CS2&gt;0,"Total des dépenses d'exploitation &amp; Amort_  (38+50)","Total des dépenses d'exploitation (38+50)")</f>
        <v>Total des dépenses d'exploitation (38+50)</v>
      </c>
      <c r="D27" s="407"/>
      <c r="E27" s="407"/>
      <c r="F27" s="407"/>
      <c r="G27" s="407"/>
      <c r="H27" s="407"/>
      <c r="I27" s="407"/>
      <c r="J27" s="408"/>
      <c r="K27" s="239">
        <f t="shared" ref="K27:L27" si="1">K14+K26</f>
        <v>922680000</v>
      </c>
      <c r="L27" s="560">
        <f t="shared" si="1"/>
        <v>0</v>
      </c>
      <c r="M27" s="408"/>
      <c r="N27" s="234"/>
      <c r="O27" s="96"/>
      <c r="P27" s="96"/>
      <c r="Q27" s="96"/>
    </row>
    <row r="28" spans="1:17" ht="15.75" customHeight="1" x14ac:dyDescent="0.3">
      <c r="A28" s="96"/>
      <c r="B28" s="232">
        <v>52</v>
      </c>
      <c r="C28" s="545" t="s">
        <v>622</v>
      </c>
      <c r="D28" s="407"/>
      <c r="E28" s="407"/>
      <c r="F28" s="407"/>
      <c r="G28" s="407"/>
      <c r="H28" s="407"/>
      <c r="I28" s="407"/>
      <c r="J28" s="408"/>
      <c r="K28" s="239">
        <f t="shared" ref="K28:L28" si="2">K13-K27</f>
        <v>777320000</v>
      </c>
      <c r="L28" s="555">
        <f t="shared" si="2"/>
        <v>0</v>
      </c>
      <c r="M28" s="408"/>
      <c r="N28" s="234"/>
      <c r="O28" s="96"/>
      <c r="P28" s="96"/>
      <c r="Q28" s="96"/>
    </row>
    <row r="29" spans="1:17" ht="15.75" customHeight="1" x14ac:dyDescent="0.3">
      <c r="A29" s="96"/>
      <c r="B29" s="232">
        <v>53</v>
      </c>
      <c r="C29" s="559" t="s">
        <v>623</v>
      </c>
      <c r="D29" s="407"/>
      <c r="E29" s="407"/>
      <c r="F29" s="407"/>
      <c r="G29" s="407"/>
      <c r="H29" s="407"/>
      <c r="I29" s="407"/>
      <c r="J29" s="408"/>
      <c r="K29" s="240">
        <f>'4. BUDGET FAMILIAL'!K42</f>
        <v>4196000</v>
      </c>
      <c r="L29" s="552"/>
      <c r="M29" s="408"/>
      <c r="N29" s="234"/>
      <c r="O29" s="96"/>
      <c r="P29" s="96"/>
      <c r="Q29" s="96"/>
    </row>
    <row r="30" spans="1:17" ht="14.25" customHeight="1" x14ac:dyDescent="0.3">
      <c r="B30" s="232">
        <v>54</v>
      </c>
      <c r="C30" s="546" t="s">
        <v>624</v>
      </c>
      <c r="D30" s="407"/>
      <c r="E30" s="407"/>
      <c r="F30" s="407"/>
      <c r="G30" s="407"/>
      <c r="H30" s="407"/>
      <c r="I30" s="407"/>
      <c r="J30" s="408"/>
      <c r="K30" s="240">
        <f>IF('1. DEMANDE'!I54="Investissement",PARAMETRAGE!CS2,PARAMETRAGE!CS1)</f>
        <v>0</v>
      </c>
      <c r="L30" s="552"/>
      <c r="M30" s="408"/>
      <c r="N30" s="234"/>
    </row>
    <row r="31" spans="1:17" ht="15.75" customHeight="1" x14ac:dyDescent="0.3">
      <c r="B31" s="232">
        <v>55</v>
      </c>
      <c r="C31" s="546" t="s">
        <v>625</v>
      </c>
      <c r="D31" s="407"/>
      <c r="E31" s="407"/>
      <c r="F31" s="407"/>
      <c r="G31" s="407"/>
      <c r="H31" s="407"/>
      <c r="I31" s="407"/>
      <c r="J31" s="408"/>
      <c r="K31" s="241"/>
      <c r="L31" s="552"/>
      <c r="M31" s="408"/>
      <c r="N31" s="234"/>
    </row>
    <row r="32" spans="1:17" ht="15.6" x14ac:dyDescent="0.3">
      <c r="B32" s="242">
        <v>56</v>
      </c>
      <c r="C32" s="561" t="s">
        <v>626</v>
      </c>
      <c r="D32" s="502"/>
      <c r="E32" s="502"/>
      <c r="F32" s="502"/>
      <c r="G32" s="502"/>
      <c r="H32" s="502"/>
      <c r="I32" s="502"/>
      <c r="J32" s="503"/>
      <c r="K32" s="243">
        <f t="shared" ref="K32:L32" si="3">K28+K29+K30-K31</f>
        <v>781516000</v>
      </c>
      <c r="L32" s="544">
        <f t="shared" si="3"/>
        <v>0</v>
      </c>
      <c r="M32" s="503"/>
      <c r="N32" s="244"/>
    </row>
    <row r="33" spans="1:17" ht="12" customHeight="1" x14ac:dyDescent="0.3"/>
    <row r="34" spans="1:17" ht="20.25" customHeight="1" x14ac:dyDescent="0.3">
      <c r="A34" s="96"/>
      <c r="B34" s="245" t="s">
        <v>627</v>
      </c>
      <c r="C34" s="450" t="s">
        <v>628</v>
      </c>
      <c r="D34" s="446"/>
      <c r="E34" s="446"/>
      <c r="F34" s="446"/>
      <c r="G34" s="446"/>
      <c r="H34" s="446"/>
      <c r="I34" s="446"/>
      <c r="J34" s="446"/>
      <c r="K34" s="446"/>
      <c r="L34" s="446"/>
      <c r="M34" s="446"/>
      <c r="N34" s="537"/>
      <c r="O34" s="96"/>
      <c r="P34" s="96"/>
      <c r="Q34" s="96"/>
    </row>
    <row r="35" spans="1:17" ht="18.75" customHeight="1" x14ac:dyDescent="0.35">
      <c r="B35" s="246"/>
      <c r="C35" s="247"/>
      <c r="D35" s="247"/>
      <c r="E35" s="247"/>
      <c r="F35" s="247"/>
      <c r="G35" s="247"/>
      <c r="H35" s="247"/>
      <c r="I35" s="247"/>
      <c r="J35" s="247"/>
      <c r="K35" s="248"/>
      <c r="L35" s="248"/>
      <c r="M35" s="247"/>
      <c r="N35" s="249"/>
    </row>
    <row r="36" spans="1:17" ht="15.75" customHeight="1" x14ac:dyDescent="0.3">
      <c r="B36" s="70"/>
      <c r="C36" s="536" t="s">
        <v>30</v>
      </c>
      <c r="D36" s="408"/>
      <c r="E36" s="536" t="s">
        <v>629</v>
      </c>
      <c r="F36" s="407"/>
      <c r="G36" s="407"/>
      <c r="H36" s="407"/>
      <c r="I36" s="407"/>
      <c r="J36" s="408"/>
      <c r="K36" s="536" t="s">
        <v>630</v>
      </c>
      <c r="L36" s="408"/>
      <c r="M36" s="250" t="s">
        <v>631</v>
      </c>
      <c r="N36" s="251" t="s">
        <v>632</v>
      </c>
    </row>
    <row r="37" spans="1:17" ht="19.5" customHeight="1" x14ac:dyDescent="0.3">
      <c r="B37" s="70"/>
      <c r="C37" s="540" t="s">
        <v>633</v>
      </c>
      <c r="D37" s="440"/>
      <c r="E37" s="252"/>
      <c r="F37" s="538" t="s">
        <v>62</v>
      </c>
      <c r="G37" s="527"/>
      <c r="H37" s="527"/>
      <c r="I37" s="527"/>
      <c r="J37" s="253"/>
      <c r="K37" s="254">
        <f>IF('8. PROPOSITION'!M12="","",'8. PROPOSITION'!M12)</f>
        <v>300000000</v>
      </c>
      <c r="L37" s="255"/>
      <c r="M37" s="532">
        <f>IF('8. PROPOSITION'!M12="","",K37/K38)</f>
        <v>0.32513981011835091</v>
      </c>
      <c r="N37" s="541" t="str">
        <f>PARAMETRAGE!BI2</f>
        <v>Bon ratio. Le niveau de participation de financement est acceptable. Attention, le crédit ne couvre pas le besoin réel.</v>
      </c>
    </row>
    <row r="38" spans="1:17" ht="23.25" customHeight="1" x14ac:dyDescent="0.3">
      <c r="B38" s="70"/>
      <c r="C38" s="529"/>
      <c r="D38" s="530"/>
      <c r="E38" s="252"/>
      <c r="F38" s="539" t="str">
        <f>IF('1. DEMANDE'!I54="Investissement","Total Dépenses d'investissement","Total Dépenses d'exploitation")</f>
        <v>Total Dépenses d'investissement</v>
      </c>
      <c r="G38" s="483"/>
      <c r="H38" s="483"/>
      <c r="I38" s="483"/>
      <c r="J38" s="80"/>
      <c r="K38" s="256">
        <f>IF('8. PROPOSITION'!M12="","",IF('1. DEMANDE'!I54="Investissement",('3. BILAN'!J47+'3. BILAN'!J48),(K27-PARAMETRAGE!CS2)))</f>
        <v>922680000</v>
      </c>
      <c r="L38" s="255"/>
      <c r="M38" s="533"/>
      <c r="N38" s="542"/>
    </row>
    <row r="39" spans="1:17" ht="20.25" customHeight="1" x14ac:dyDescent="0.3">
      <c r="B39" s="70"/>
      <c r="C39" s="528" t="s">
        <v>634</v>
      </c>
      <c r="D39" s="500"/>
      <c r="E39" s="257"/>
      <c r="F39" s="525" t="s">
        <v>635</v>
      </c>
      <c r="G39" s="407"/>
      <c r="H39" s="407"/>
      <c r="I39" s="407"/>
      <c r="J39" s="258"/>
      <c r="K39" s="259">
        <f>IF('8. PROPOSITION'!M12="","",PARAMETRAGE!CU5)</f>
        <v>260505333.33333334</v>
      </c>
      <c r="L39" s="260"/>
      <c r="M39" s="543">
        <f>IF('8. PROPOSITION'!M12="","",K39/K40)</f>
        <v>1.439255985267035</v>
      </c>
      <c r="N39" s="534" t="str">
        <f>PARAMETRAGE!BI4</f>
        <v>La couverture de l'échéance est acceptable mais trop juste. Le risque d'impayé est à prendre en compte.</v>
      </c>
    </row>
    <row r="40" spans="1:17" ht="19.5" customHeight="1" x14ac:dyDescent="0.3">
      <c r="B40" s="70"/>
      <c r="C40" s="529"/>
      <c r="D40" s="530"/>
      <c r="E40" s="261"/>
      <c r="F40" s="531" t="s">
        <v>636</v>
      </c>
      <c r="G40" s="407"/>
      <c r="H40" s="407"/>
      <c r="I40" s="407"/>
      <c r="J40" s="262"/>
      <c r="K40" s="263">
        <f>IF('8. PROPOSITION'!M12="","",'8. PROPOSITION'!M22)</f>
        <v>181000000</v>
      </c>
      <c r="L40" s="264"/>
      <c r="M40" s="533"/>
      <c r="N40" s="535"/>
    </row>
    <row r="41" spans="1:17" ht="25.5" customHeight="1" x14ac:dyDescent="0.3">
      <c r="B41" s="70"/>
      <c r="C41" s="528" t="s">
        <v>637</v>
      </c>
      <c r="D41" s="500"/>
      <c r="E41" s="257"/>
      <c r="F41" s="525" t="s">
        <v>175</v>
      </c>
      <c r="G41" s="407"/>
      <c r="H41" s="407"/>
      <c r="I41" s="407"/>
      <c r="J41" s="258"/>
      <c r="K41" s="259">
        <f>IF('8. PROPOSITION'!M12="","",'3. BILAN'!I17)</f>
        <v>56000000</v>
      </c>
      <c r="L41" s="260"/>
      <c r="M41" s="543">
        <f>IF('8. PROPOSITION'!M12="","",K41/K42)</f>
        <v>2.8</v>
      </c>
      <c r="N41" s="534" t="str">
        <f>IF(AND(K41&gt;0,K42=0),"Pas de dette à court terme. Le fonds de roulement est positif.",PARAMETRAGE!BI6)</f>
        <v xml:space="preserve">Bon ratio. Les actifs à court terme surpassent les dettes à moins d'un an et dégagent un surplus important. </v>
      </c>
    </row>
    <row r="42" spans="1:17" ht="21.75" customHeight="1" x14ac:dyDescent="0.3">
      <c r="B42" s="70"/>
      <c r="C42" s="529"/>
      <c r="D42" s="530"/>
      <c r="E42" s="261"/>
      <c r="F42" s="526" t="s">
        <v>191</v>
      </c>
      <c r="G42" s="527"/>
      <c r="H42" s="527"/>
      <c r="I42" s="527"/>
      <c r="J42" s="527"/>
      <c r="K42" s="265">
        <f>IF('8. PROPOSITION'!M12="","",'3. BILAN'!I32)</f>
        <v>20000000</v>
      </c>
      <c r="L42" s="264"/>
      <c r="M42" s="533"/>
      <c r="N42" s="535"/>
    </row>
    <row r="43" spans="1:17" ht="21" customHeight="1" x14ac:dyDescent="0.3">
      <c r="B43" s="70"/>
      <c r="C43" s="528" t="s">
        <v>638</v>
      </c>
      <c r="D43" s="500"/>
      <c r="E43" s="257"/>
      <c r="F43" s="525" t="s">
        <v>208</v>
      </c>
      <c r="G43" s="407"/>
      <c r="H43" s="407"/>
      <c r="I43" s="407"/>
      <c r="J43" s="258"/>
      <c r="K43" s="259">
        <f>IF('8. PROPOSITION'!M12="","",'3. BILAN'!I35)</f>
        <v>20000000</v>
      </c>
      <c r="L43" s="260"/>
      <c r="M43" s="543">
        <f>IF('8. PROPOSITION'!M12="","",K43/K44)</f>
        <v>1.7050298380221655E-2</v>
      </c>
      <c r="N43" s="534" t="str">
        <f>PARAMETRAGE!BI9</f>
        <v>Excellent ratio de solvabilité. Les dettes de l'entreprise sont très faibles par rapport aux fonds propres</v>
      </c>
    </row>
    <row r="44" spans="1:17" ht="22.5" customHeight="1" x14ac:dyDescent="0.3">
      <c r="B44" s="70"/>
      <c r="C44" s="529"/>
      <c r="D44" s="530"/>
      <c r="E44" s="261"/>
      <c r="F44" s="526" t="s">
        <v>221</v>
      </c>
      <c r="G44" s="527"/>
      <c r="H44" s="527"/>
      <c r="I44" s="527"/>
      <c r="J44" s="527"/>
      <c r="K44" s="265">
        <f>IF('8. PROPOSITION'!M12="","",'3. BILAN'!I37)</f>
        <v>1173000000</v>
      </c>
      <c r="L44" s="264"/>
      <c r="M44" s="533"/>
      <c r="N44" s="535"/>
    </row>
    <row r="45" spans="1:17" ht="25.5" customHeight="1" x14ac:dyDescent="0.3">
      <c r="B45" s="70"/>
      <c r="C45" s="528" t="s">
        <v>639</v>
      </c>
      <c r="D45" s="500"/>
      <c r="E45" s="257"/>
      <c r="F45" s="525" t="s">
        <v>640</v>
      </c>
      <c r="G45" s="407"/>
      <c r="H45" s="407"/>
      <c r="I45" s="407"/>
      <c r="J45" s="258"/>
      <c r="K45" s="259">
        <f>IF('8. PROPOSITION'!M12="","",('3. BILAN'!I17-'3. BILAN'!I14))</f>
        <v>36000000</v>
      </c>
      <c r="L45" s="260"/>
      <c r="M45" s="543">
        <f>IF('8. PROPOSITION'!M12="","",K45/K46)</f>
        <v>1.8</v>
      </c>
      <c r="N45" s="534" t="str">
        <f>IF(AND(K41&gt;0,K42=0),"Pas de dette à court terme. Le fonds de roulement est positif.",PARAMETRAGE!BI11)</f>
        <v>Ratio respectant la norme. Les dettes à moins d'un an seront réglées.</v>
      </c>
    </row>
    <row r="46" spans="1:17" ht="21" customHeight="1" x14ac:dyDescent="0.3">
      <c r="B46" s="70"/>
      <c r="C46" s="529"/>
      <c r="D46" s="530"/>
      <c r="E46" s="261"/>
      <c r="F46" s="526" t="s">
        <v>191</v>
      </c>
      <c r="G46" s="527"/>
      <c r="H46" s="527"/>
      <c r="I46" s="527"/>
      <c r="J46" s="527"/>
      <c r="K46" s="265">
        <f>IF('8. PROPOSITION'!M12="","",'3. BILAN'!I32)</f>
        <v>20000000</v>
      </c>
      <c r="L46" s="264"/>
      <c r="M46" s="533"/>
      <c r="N46" s="535"/>
    </row>
    <row r="47" spans="1:17" ht="18.75" customHeight="1" x14ac:dyDescent="0.3">
      <c r="B47" s="70"/>
      <c r="C47" s="528" t="s">
        <v>641</v>
      </c>
      <c r="D47" s="500"/>
      <c r="E47" s="257"/>
      <c r="F47" s="525" t="s">
        <v>254</v>
      </c>
      <c r="G47" s="407"/>
      <c r="H47" s="407"/>
      <c r="I47" s="407"/>
      <c r="J47" s="258"/>
      <c r="K47" s="259">
        <f>IF('8. PROPOSITION'!M12="","",'3. BILAN'!I35+'8. PROPOSITION'!M12)</f>
        <v>320000000</v>
      </c>
      <c r="L47" s="260"/>
      <c r="M47" s="532">
        <f>IF('8. PROPOSITION'!M12="","",K47/K48)</f>
        <v>0.21433355659745479</v>
      </c>
      <c r="N47" s="534" t="str">
        <f>PARAMETRAGE!BI13</f>
        <v>Niveau d'endettement faible pour l'entreprise. Elle possède une bonne marge pour s'endetter davantage.</v>
      </c>
    </row>
    <row r="48" spans="1:17" ht="18" customHeight="1" x14ac:dyDescent="0.3">
      <c r="B48" s="70"/>
      <c r="C48" s="529"/>
      <c r="D48" s="530"/>
      <c r="E48" s="261"/>
      <c r="F48" s="526" t="s">
        <v>263</v>
      </c>
      <c r="G48" s="527"/>
      <c r="H48" s="527"/>
      <c r="I48" s="527"/>
      <c r="J48" s="527"/>
      <c r="K48" s="265">
        <f>IF('8. PROPOSITION'!M12="","",'3. BILAN'!I26+'8. PROPOSITION'!M12)</f>
        <v>1493000000</v>
      </c>
      <c r="L48" s="264"/>
      <c r="M48" s="533"/>
      <c r="N48" s="535"/>
    </row>
    <row r="49" spans="2:14" ht="21" customHeight="1" x14ac:dyDescent="0.3">
      <c r="B49" s="70"/>
      <c r="C49" s="528" t="s">
        <v>642</v>
      </c>
      <c r="D49" s="500"/>
      <c r="E49" s="257"/>
      <c r="F49" s="525" t="s">
        <v>272</v>
      </c>
      <c r="G49" s="407"/>
      <c r="H49" s="407"/>
      <c r="I49" s="407"/>
      <c r="J49" s="258"/>
      <c r="K49" s="259">
        <f>IF('8. PROPOSITION'!M12="","",'4. BUDGET FAMILIAL'!K39)</f>
        <v>450800000</v>
      </c>
      <c r="L49" s="260"/>
      <c r="M49" s="532">
        <f>IF('8. PROPOSITION'!M12="","",K49/K50)</f>
        <v>0.36581526166989636</v>
      </c>
      <c r="N49" s="534" t="str">
        <f>PARAMETRAGE!BI15</f>
        <v xml:space="preserve">Le niveau de consommation du ménage de l'entrepreneur est dans les normes. </v>
      </c>
    </row>
    <row r="50" spans="2:14" ht="27" customHeight="1" x14ac:dyDescent="0.3">
      <c r="B50" s="70"/>
      <c r="C50" s="529"/>
      <c r="D50" s="530"/>
      <c r="E50" s="261"/>
      <c r="F50" s="526" t="s">
        <v>276</v>
      </c>
      <c r="G50" s="527"/>
      <c r="H50" s="527"/>
      <c r="I50" s="527"/>
      <c r="J50" s="527"/>
      <c r="K50" s="265">
        <f>IF('8. PROPOSITION'!M12="","",(K28+'4. BUDGET FAMILIAL'!K17))</f>
        <v>1232316000</v>
      </c>
      <c r="L50" s="264"/>
      <c r="M50" s="533"/>
      <c r="N50" s="535"/>
    </row>
    <row r="51" spans="2:14" ht="25.5" customHeight="1" x14ac:dyDescent="0.3">
      <c r="B51" s="70"/>
      <c r="C51" s="528" t="s">
        <v>643</v>
      </c>
      <c r="D51" s="500"/>
      <c r="E51" s="257"/>
      <c r="F51" s="525" t="s">
        <v>283</v>
      </c>
      <c r="G51" s="407"/>
      <c r="H51" s="407"/>
      <c r="I51" s="407"/>
      <c r="J51" s="258"/>
      <c r="K51" s="259">
        <f>IF('8. PROPOSITION'!M12="","",('4. BUDGET FAMILIAL'!K17-PARAMETRAGE!CN12))</f>
        <v>454996000</v>
      </c>
      <c r="L51" s="260"/>
      <c r="M51" s="532">
        <f>IF('8. PROPOSITION'!M12="","",K51/K52)</f>
        <v>0.36922023247283975</v>
      </c>
      <c r="N51" s="534" t="str">
        <f>PARAMETRAGE!BI17</f>
        <v xml:space="preserve">Ratio de dépendance aux autres revenus dans la norme. </v>
      </c>
    </row>
    <row r="52" spans="2:14" ht="24" customHeight="1" x14ac:dyDescent="0.3">
      <c r="B52" s="70"/>
      <c r="C52" s="529"/>
      <c r="D52" s="530"/>
      <c r="E52" s="261"/>
      <c r="F52" s="526" t="s">
        <v>276</v>
      </c>
      <c r="G52" s="527"/>
      <c r="H52" s="527"/>
      <c r="I52" s="527"/>
      <c r="J52" s="527"/>
      <c r="K52" s="265">
        <f>IF('8. PROPOSITION'!M12="","",(K28+'4. BUDGET FAMILIAL'!K17))</f>
        <v>1232316000</v>
      </c>
      <c r="L52" s="264"/>
      <c r="M52" s="533"/>
      <c r="N52" s="535"/>
    </row>
    <row r="53" spans="2:14" ht="15.75" customHeight="1" x14ac:dyDescent="0.3">
      <c r="B53" s="91"/>
      <c r="C53" s="92"/>
      <c r="D53" s="92"/>
      <c r="E53" s="92"/>
      <c r="F53" s="92"/>
      <c r="G53" s="92"/>
      <c r="H53" s="92"/>
      <c r="I53" s="92"/>
      <c r="J53" s="92"/>
      <c r="K53" s="92"/>
      <c r="L53" s="92"/>
      <c r="M53" s="92"/>
      <c r="N53" s="93"/>
    </row>
    <row r="54" spans="2:14" ht="15.75" customHeight="1" x14ac:dyDescent="0.3"/>
    <row r="55" spans="2:14" ht="15.75" customHeight="1" x14ac:dyDescent="0.3"/>
    <row r="56" spans="2:14" ht="15.75" customHeight="1" x14ac:dyDescent="0.3"/>
    <row r="57" spans="2:14" ht="15.75" customHeight="1" x14ac:dyDescent="0.3"/>
    <row r="58" spans="2:14" ht="15.75" customHeight="1" x14ac:dyDescent="0.3"/>
    <row r="59" spans="2:14" ht="15.75" customHeight="1" x14ac:dyDescent="0.3"/>
    <row r="60" spans="2:14" ht="15.75" customHeight="1" x14ac:dyDescent="0.3"/>
    <row r="61" spans="2:14" ht="15.75" customHeight="1" x14ac:dyDescent="0.3"/>
    <row r="62" spans="2:14" ht="15.75" customHeight="1" x14ac:dyDescent="0.3"/>
    <row r="63" spans="2:14" ht="15.75" customHeight="1" x14ac:dyDescent="0.3"/>
    <row r="64" spans="2:1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96">
    <mergeCell ref="L18:M18"/>
    <mergeCell ref="L21:M21"/>
    <mergeCell ref="B3:F3"/>
    <mergeCell ref="G3:K3"/>
    <mergeCell ref="L16:M16"/>
    <mergeCell ref="D16:J16"/>
    <mergeCell ref="L19:M19"/>
    <mergeCell ref="L20:M20"/>
    <mergeCell ref="D21:J21"/>
    <mergeCell ref="D20:J20"/>
    <mergeCell ref="D19:J19"/>
    <mergeCell ref="D18:J18"/>
    <mergeCell ref="C16:C26"/>
    <mergeCell ref="C32:J32"/>
    <mergeCell ref="L22:M22"/>
    <mergeCell ref="L23:M23"/>
    <mergeCell ref="L24:M24"/>
    <mergeCell ref="L25:M25"/>
    <mergeCell ref="L26:M26"/>
    <mergeCell ref="D22:J22"/>
    <mergeCell ref="D26:J26"/>
    <mergeCell ref="D25:J25"/>
    <mergeCell ref="D24:J24"/>
    <mergeCell ref="D23:J23"/>
    <mergeCell ref="C28:J28"/>
    <mergeCell ref="C29:J29"/>
    <mergeCell ref="C30:J30"/>
    <mergeCell ref="C31:J31"/>
    <mergeCell ref="L27:M27"/>
    <mergeCell ref="L28:M28"/>
    <mergeCell ref="L29:M29"/>
    <mergeCell ref="L30:M30"/>
    <mergeCell ref="L31:M31"/>
    <mergeCell ref="C27:J27"/>
    <mergeCell ref="L17:M17"/>
    <mergeCell ref="D17:J17"/>
    <mergeCell ref="L12:M12"/>
    <mergeCell ref="N11:N12"/>
    <mergeCell ref="L13:M13"/>
    <mergeCell ref="L14:M14"/>
    <mergeCell ref="L11:M11"/>
    <mergeCell ref="L15:M15"/>
    <mergeCell ref="C11:J12"/>
    <mergeCell ref="C13:J13"/>
    <mergeCell ref="C15:J15"/>
    <mergeCell ref="C14:J14"/>
    <mergeCell ref="B5:F5"/>
    <mergeCell ref="J5:K5"/>
    <mergeCell ref="M5:N5"/>
    <mergeCell ref="G5:H5"/>
    <mergeCell ref="B11:B12"/>
    <mergeCell ref="L32:M32"/>
    <mergeCell ref="M39:M40"/>
    <mergeCell ref="N39:N40"/>
    <mergeCell ref="N41:N42"/>
    <mergeCell ref="M41:M42"/>
    <mergeCell ref="K36:L36"/>
    <mergeCell ref="C34:N34"/>
    <mergeCell ref="F37:I37"/>
    <mergeCell ref="F38:I38"/>
    <mergeCell ref="C36:D36"/>
    <mergeCell ref="E36:J36"/>
    <mergeCell ref="C37:D38"/>
    <mergeCell ref="M37:M38"/>
    <mergeCell ref="N37:N38"/>
    <mergeCell ref="N49:N50"/>
    <mergeCell ref="N43:N44"/>
    <mergeCell ref="F43:I43"/>
    <mergeCell ref="F51:I51"/>
    <mergeCell ref="M51:M52"/>
    <mergeCell ref="N51:N52"/>
    <mergeCell ref="F52:J52"/>
    <mergeCell ref="N45:N46"/>
    <mergeCell ref="F50:J50"/>
    <mergeCell ref="M43:M44"/>
    <mergeCell ref="M45:M46"/>
    <mergeCell ref="F49:I49"/>
    <mergeCell ref="C47:D48"/>
    <mergeCell ref="C51:D52"/>
    <mergeCell ref="C49:D50"/>
    <mergeCell ref="M49:M50"/>
    <mergeCell ref="C45:D46"/>
    <mergeCell ref="C43:D44"/>
    <mergeCell ref="M47:M48"/>
    <mergeCell ref="N47:N48"/>
    <mergeCell ref="F48:J48"/>
    <mergeCell ref="F47:I47"/>
    <mergeCell ref="F45:I45"/>
    <mergeCell ref="F46:J46"/>
    <mergeCell ref="F39:I39"/>
    <mergeCell ref="F40:I40"/>
    <mergeCell ref="F41:I41"/>
    <mergeCell ref="F42:J42"/>
    <mergeCell ref="C39:D40"/>
    <mergeCell ref="C41:D42"/>
    <mergeCell ref="F44:J44"/>
  </mergeCells>
  <conditionalFormatting sqref="K28">
    <cfRule type="cellIs" dxfId="55" priority="1" operator="lessThan">
      <formula>0</formula>
    </cfRule>
  </conditionalFormatting>
  <conditionalFormatting sqref="M37">
    <cfRule type="cellIs" dxfId="54" priority="2" operator="between">
      <formula>0.65</formula>
      <formula>1</formula>
    </cfRule>
    <cfRule type="cellIs" dxfId="53" priority="3" operator="lessThanOrEqual">
      <formula>0.65</formula>
    </cfRule>
    <cfRule type="cellIs" dxfId="52" priority="4" operator="greaterThanOrEqual">
      <formula>1</formula>
    </cfRule>
  </conditionalFormatting>
  <conditionalFormatting sqref="M39">
    <cfRule type="cellIs" dxfId="51" priority="5" operator="between">
      <formula>1</formula>
      <formula>1.5</formula>
    </cfRule>
    <cfRule type="cellIs" dxfId="50" priority="6" operator="greaterThanOrEqual">
      <formula>1.5</formula>
    </cfRule>
    <cfRule type="cellIs" dxfId="49" priority="7" operator="lessThan">
      <formula>1</formula>
    </cfRule>
  </conditionalFormatting>
  <conditionalFormatting sqref="M41">
    <cfRule type="cellIs" dxfId="48" priority="8" operator="between">
      <formula>1</formula>
      <formula>1.5</formula>
    </cfRule>
    <cfRule type="cellIs" dxfId="47" priority="9" operator="greaterThanOrEqual">
      <formula>1.5</formula>
    </cfRule>
    <cfRule type="cellIs" dxfId="46" priority="10" operator="lessThan">
      <formula>1</formula>
    </cfRule>
  </conditionalFormatting>
  <conditionalFormatting sqref="M43">
    <cfRule type="cellIs" dxfId="45" priority="11" operator="lessThan">
      <formula>0</formula>
    </cfRule>
    <cfRule type="cellIs" dxfId="44" priority="12" operator="between">
      <formula>0</formula>
      <formula>0.4</formula>
    </cfRule>
    <cfRule type="cellIs" dxfId="43" priority="13" operator="lessThanOrEqual">
      <formula>0.5</formula>
    </cfRule>
    <cfRule type="cellIs" dxfId="42" priority="14" operator="greaterThanOrEqual">
      <formula>0.5</formula>
    </cfRule>
  </conditionalFormatting>
  <conditionalFormatting sqref="M45">
    <cfRule type="cellIs" dxfId="41" priority="15" operator="between">
      <formula>0.5</formula>
      <formula>1</formula>
    </cfRule>
    <cfRule type="cellIs" dxfId="40" priority="16" operator="greaterThanOrEqual">
      <formula>1</formula>
    </cfRule>
    <cfRule type="cellIs" dxfId="39" priority="17" operator="lessThan">
      <formula>0.5</formula>
    </cfRule>
  </conditionalFormatting>
  <conditionalFormatting sqref="M47">
    <cfRule type="cellIs" dxfId="38" priority="18" operator="between">
      <formula>0.65</formula>
      <formula>1</formula>
    </cfRule>
    <cfRule type="cellIs" dxfId="37" priority="19" operator="lessThanOrEqual">
      <formula>0.65</formula>
    </cfRule>
    <cfRule type="cellIs" dxfId="36" priority="20" operator="greaterThanOrEqual">
      <formula>1</formula>
    </cfRule>
  </conditionalFormatting>
  <conditionalFormatting sqref="M49">
    <cfRule type="cellIs" dxfId="35" priority="21" operator="between">
      <formula>0</formula>
      <formula>0.35</formula>
    </cfRule>
    <cfRule type="cellIs" dxfId="34" priority="22" operator="lessThan">
      <formula>0</formula>
    </cfRule>
    <cfRule type="cellIs" dxfId="33" priority="23" operator="between">
      <formula>35%</formula>
      <formula>65%</formula>
    </cfRule>
    <cfRule type="cellIs" dxfId="32" priority="24" operator="greaterThanOrEqual">
      <formula>65%</formula>
    </cfRule>
  </conditionalFormatting>
  <conditionalFormatting sqref="M51">
    <cfRule type="cellIs" dxfId="31" priority="25" operator="lessThan">
      <formula>0</formula>
    </cfRule>
    <cfRule type="cellIs" dxfId="30" priority="26" operator="between">
      <formula>0</formula>
      <formula>0.4</formula>
    </cfRule>
    <cfRule type="cellIs" dxfId="29" priority="27" operator="lessThanOrEqual">
      <formula>0.5</formula>
    </cfRule>
    <cfRule type="cellIs" dxfId="28" priority="28" operator="greaterThanOrEqual">
      <formula>0.5</formula>
    </cfRule>
  </conditionalFormatting>
  <dataValidations count="1">
    <dataValidation type="list" allowBlank="1" showErrorMessage="1" sqref="D16:D25" xr:uid="{00000000-0002-0000-0800-000000000000}">
      <formula1>Charges_exploitation</formula1>
    </dataValidation>
  </dataValidations>
  <pageMargins left="0.70866141732283472" right="0.43307086614173229" top="0.74803149606299213" bottom="0.74803149606299213" header="0" footer="0"/>
  <pageSetup scale="72" orientation="portrait"/>
  <headerFooter>
    <oddFooter>&amp;LGrille d’analyse de crédit agricole développé par DID&amp;C_x000D_#000000 Usage Interne</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R100"/>
  <sheetViews>
    <sheetView showGridLines="0" workbookViewId="0">
      <selection activeCell="C11" sqref="C11:G11"/>
    </sheetView>
  </sheetViews>
  <sheetFormatPr baseColWidth="10" defaultColWidth="14.44140625" defaultRowHeight="15" customHeight="1" x14ac:dyDescent="0.3"/>
  <cols>
    <col min="1" max="1" width="11.5546875" customWidth="1"/>
    <col min="2" max="2" width="2.109375" customWidth="1"/>
    <col min="3" max="3" width="11.5546875" customWidth="1"/>
    <col min="4" max="4" width="19.109375" customWidth="1"/>
    <col min="5" max="5" width="27.5546875" customWidth="1"/>
    <col min="6" max="6" width="2.44140625" customWidth="1"/>
    <col min="7" max="7" width="13.44140625" customWidth="1"/>
    <col min="8" max="8" width="0.44140625" hidden="1" customWidth="1"/>
    <col min="9" max="9" width="9.109375" customWidth="1"/>
    <col min="10" max="10" width="3.88671875" customWidth="1"/>
    <col min="11" max="11" width="11.5546875" customWidth="1"/>
    <col min="12" max="12" width="18.109375" customWidth="1"/>
    <col min="13" max="13" width="5.5546875" customWidth="1"/>
    <col min="14" max="15" width="11.5546875" customWidth="1"/>
    <col min="16" max="16" width="0.88671875" customWidth="1"/>
    <col min="17" max="18" width="11.5546875" customWidth="1"/>
  </cols>
  <sheetData>
    <row r="1" spans="1:18" ht="27" customHeight="1" x14ac:dyDescent="0.3"/>
    <row r="3" spans="1:18" ht="17.399999999999999" x14ac:dyDescent="0.35">
      <c r="B3" s="432" t="s">
        <v>535</v>
      </c>
      <c r="C3" s="399"/>
      <c r="D3" s="399"/>
      <c r="E3" s="487" t="str">
        <f>'1. DEMANDE'!H15</f>
        <v>MARIAMA KABA</v>
      </c>
      <c r="F3" s="382"/>
      <c r="G3" s="382"/>
      <c r="H3" s="382"/>
      <c r="I3" s="383"/>
      <c r="K3" s="73"/>
      <c r="L3" s="60" t="s">
        <v>429</v>
      </c>
      <c r="M3" s="487" t="str">
        <f>'1. DEMANDE'!AD5</f>
        <v>FORECARIAH</v>
      </c>
      <c r="N3" s="382"/>
      <c r="O3" s="383"/>
    </row>
    <row r="4" spans="1:18" ht="12.75" customHeight="1" x14ac:dyDescent="0.35">
      <c r="C4" s="73"/>
      <c r="D4" s="73"/>
      <c r="E4" s="73"/>
      <c r="F4" s="73"/>
      <c r="G4" s="73"/>
      <c r="H4" s="73"/>
      <c r="I4" s="73"/>
      <c r="J4" s="73"/>
      <c r="K4" s="73"/>
      <c r="L4" s="73"/>
      <c r="M4" s="73"/>
      <c r="N4" s="73"/>
      <c r="O4" s="73"/>
    </row>
    <row r="5" spans="1:18" ht="17.399999999999999" x14ac:dyDescent="0.35">
      <c r="B5" s="432" t="s">
        <v>536</v>
      </c>
      <c r="C5" s="399"/>
      <c r="D5" s="399"/>
      <c r="E5" s="266">
        <f>'1. DEMANDE'!AH15</f>
        <v>10300181501</v>
      </c>
      <c r="F5" s="83"/>
      <c r="G5" s="83"/>
      <c r="H5" s="83"/>
      <c r="J5" s="57"/>
      <c r="L5" s="83" t="s">
        <v>433</v>
      </c>
      <c r="M5" s="487" t="str">
        <f>'1. DEMANDE'!AD7</f>
        <v>MOHAMED MMAH CAMARA</v>
      </c>
      <c r="N5" s="382"/>
      <c r="O5" s="383"/>
    </row>
    <row r="6" spans="1:18" ht="12" customHeight="1" x14ac:dyDescent="0.3">
      <c r="O6" s="112"/>
    </row>
    <row r="7" spans="1:18" ht="17.399999999999999" x14ac:dyDescent="0.3">
      <c r="L7" s="60" t="s">
        <v>515</v>
      </c>
      <c r="M7" s="575">
        <f>'4. BUDGET FAMILIAL'!K7</f>
        <v>46093</v>
      </c>
      <c r="N7" s="382"/>
      <c r="O7" s="383"/>
    </row>
    <row r="9" spans="1:18" ht="21.75" customHeight="1" x14ac:dyDescent="0.3">
      <c r="A9" s="96"/>
      <c r="B9" s="577" t="s">
        <v>644</v>
      </c>
      <c r="C9" s="446"/>
      <c r="D9" s="446"/>
      <c r="E9" s="446"/>
      <c r="F9" s="446"/>
      <c r="G9" s="446"/>
      <c r="H9" s="446"/>
      <c r="I9" s="446"/>
      <c r="J9" s="446"/>
      <c r="K9" s="446"/>
      <c r="L9" s="446"/>
      <c r="M9" s="446"/>
      <c r="N9" s="446"/>
      <c r="O9" s="446"/>
      <c r="P9" s="537"/>
      <c r="Q9" s="96"/>
      <c r="R9" s="96"/>
    </row>
    <row r="10" spans="1:18" ht="4.5" customHeight="1" x14ac:dyDescent="0.3">
      <c r="B10" s="70"/>
      <c r="O10" s="71"/>
      <c r="P10" s="71"/>
    </row>
    <row r="11" spans="1:18" ht="76.5" customHeight="1" x14ac:dyDescent="0.3">
      <c r="B11" s="70"/>
      <c r="C11" s="572" t="s">
        <v>645</v>
      </c>
      <c r="D11" s="407"/>
      <c r="E11" s="407"/>
      <c r="F11" s="407"/>
      <c r="G11" s="408"/>
      <c r="H11" s="267"/>
      <c r="I11" s="572" t="s">
        <v>646</v>
      </c>
      <c r="J11" s="407"/>
      <c r="K11" s="407"/>
      <c r="L11" s="407"/>
      <c r="M11" s="407"/>
      <c r="N11" s="407"/>
      <c r="O11" s="408"/>
      <c r="P11" s="71"/>
    </row>
    <row r="12" spans="1:18" ht="77.25" customHeight="1" x14ac:dyDescent="0.3">
      <c r="B12" s="70"/>
      <c r="C12" s="574"/>
      <c r="D12" s="407"/>
      <c r="E12" s="407"/>
      <c r="F12" s="407"/>
      <c r="G12" s="408"/>
      <c r="H12" s="268"/>
      <c r="I12" s="574"/>
      <c r="J12" s="407"/>
      <c r="K12" s="407"/>
      <c r="L12" s="407"/>
      <c r="M12" s="407"/>
      <c r="N12" s="407"/>
      <c r="O12" s="408"/>
      <c r="P12" s="71"/>
    </row>
    <row r="13" spans="1:18" ht="4.5" customHeight="1" x14ac:dyDescent="0.3">
      <c r="B13" s="70"/>
      <c r="C13" s="268"/>
      <c r="D13" s="268"/>
      <c r="E13" s="268"/>
      <c r="F13" s="268"/>
      <c r="G13" s="268"/>
      <c r="H13" s="268"/>
      <c r="I13" s="63"/>
      <c r="J13" s="63"/>
      <c r="K13" s="63"/>
      <c r="L13" s="63"/>
      <c r="M13" s="63"/>
      <c r="N13" s="63"/>
      <c r="O13" s="63"/>
      <c r="P13" s="71"/>
    </row>
    <row r="14" spans="1:18" ht="60" customHeight="1" x14ac:dyDescent="0.3">
      <c r="B14" s="70"/>
      <c r="C14" s="572" t="s">
        <v>647</v>
      </c>
      <c r="D14" s="407"/>
      <c r="E14" s="407"/>
      <c r="F14" s="407"/>
      <c r="G14" s="408"/>
      <c r="H14" s="267"/>
      <c r="I14" s="572" t="s">
        <v>648</v>
      </c>
      <c r="J14" s="407"/>
      <c r="K14" s="407"/>
      <c r="L14" s="407"/>
      <c r="M14" s="407"/>
      <c r="N14" s="407"/>
      <c r="O14" s="408"/>
      <c r="P14" s="71"/>
    </row>
    <row r="15" spans="1:18" ht="81.75" customHeight="1" x14ac:dyDescent="0.3">
      <c r="B15" s="70"/>
      <c r="C15" s="574"/>
      <c r="D15" s="407"/>
      <c r="E15" s="407"/>
      <c r="F15" s="407"/>
      <c r="G15" s="408"/>
      <c r="H15" s="63"/>
      <c r="I15" s="574"/>
      <c r="J15" s="407"/>
      <c r="K15" s="407"/>
      <c r="L15" s="407"/>
      <c r="M15" s="407"/>
      <c r="N15" s="407"/>
      <c r="O15" s="408"/>
      <c r="P15" s="71"/>
    </row>
    <row r="16" spans="1:18" ht="5.25" customHeight="1" x14ac:dyDescent="0.3">
      <c r="B16" s="91"/>
      <c r="C16" s="92"/>
      <c r="D16" s="92"/>
      <c r="E16" s="92"/>
      <c r="F16" s="92"/>
      <c r="G16" s="92"/>
      <c r="H16" s="92"/>
      <c r="I16" s="92"/>
      <c r="J16" s="92"/>
      <c r="K16" s="92"/>
      <c r="L16" s="92"/>
      <c r="M16" s="92"/>
      <c r="N16" s="92"/>
      <c r="O16" s="92"/>
      <c r="P16" s="93"/>
    </row>
    <row r="18" spans="2:16" ht="18" x14ac:dyDescent="0.3">
      <c r="B18" s="577" t="s">
        <v>649</v>
      </c>
      <c r="C18" s="446"/>
      <c r="D18" s="446"/>
      <c r="E18" s="446"/>
      <c r="F18" s="446"/>
      <c r="G18" s="446"/>
      <c r="H18" s="446"/>
      <c r="I18" s="446"/>
      <c r="J18" s="446"/>
      <c r="K18" s="446"/>
      <c r="L18" s="446"/>
      <c r="M18" s="446"/>
      <c r="N18" s="446"/>
      <c r="O18" s="446"/>
      <c r="P18" s="537"/>
    </row>
    <row r="19" spans="2:16" ht="5.25" customHeight="1" x14ac:dyDescent="0.3">
      <c r="B19" s="70"/>
      <c r="C19" s="269"/>
      <c r="D19" s="270"/>
      <c r="E19" s="270"/>
      <c r="F19" s="270"/>
      <c r="P19" s="71"/>
    </row>
    <row r="20" spans="2:16" ht="39" customHeight="1" x14ac:dyDescent="0.3">
      <c r="B20" s="70"/>
      <c r="C20" s="576" t="s">
        <v>650</v>
      </c>
      <c r="D20" s="407"/>
      <c r="E20" s="408"/>
      <c r="F20" s="566" t="s">
        <v>651</v>
      </c>
      <c r="G20" s="408"/>
      <c r="H20" s="271"/>
      <c r="I20" s="272" t="s">
        <v>652</v>
      </c>
      <c r="J20" s="578" t="s">
        <v>653</v>
      </c>
      <c r="K20" s="407"/>
      <c r="L20" s="408"/>
      <c r="M20" s="578" t="s">
        <v>654</v>
      </c>
      <c r="N20" s="407"/>
      <c r="O20" s="408"/>
      <c r="P20" s="71"/>
    </row>
    <row r="21" spans="2:16" ht="70.5" customHeight="1" x14ac:dyDescent="0.3">
      <c r="B21" s="70"/>
      <c r="C21" s="568" t="s">
        <v>655</v>
      </c>
      <c r="D21" s="569"/>
      <c r="E21" s="570"/>
      <c r="F21" s="567" t="s">
        <v>5</v>
      </c>
      <c r="G21" s="407"/>
      <c r="H21" s="408"/>
      <c r="I21" s="273">
        <f>IF(F21="Excellent",1,IF(F21="Très bien",2,IF(F21="Bien",3,IF(F21="Passable",4,IF(F21="Faible",5,IF(F21="Très faible",6,""))))))</f>
        <v>1</v>
      </c>
      <c r="J21" s="573" t="str">
        <f>IF(F21="Excellent","Expérience importante dans le secteur (plus de dix ans), Excellente connaissance de son domaine d'activité et très bon suivi.",IF(F21="Très bien","Grande expérience dans le secteur (plus de cinq ans), formation et bon suivi de l'activité.",IF(F21="Bien","Grande expérience dans le secteur (plus de cinq ans)",IF(F21="Passable","Expérience limitée (moins de cinq ans) dans le secteur / suivi délégué de l'activité",IF(F21="Faible","Expérience limitée comme entrepreneur (moins de cinq ans) mais pas dans le secteur",IF(F21="Très faible","Aucune expérience",""))))))</f>
        <v>Expérience importante dans le secteur (plus de dix ans), Excellente connaissance de son domaine d'activité et très bon suivi.</v>
      </c>
      <c r="K21" s="407"/>
      <c r="L21" s="408"/>
      <c r="M21" s="564"/>
      <c r="N21" s="407"/>
      <c r="O21" s="408"/>
      <c r="P21" s="71"/>
    </row>
    <row r="22" spans="2:16" ht="66" customHeight="1" x14ac:dyDescent="0.3">
      <c r="B22" s="70"/>
      <c r="C22" s="571" t="s">
        <v>656</v>
      </c>
      <c r="D22" s="407"/>
      <c r="E22" s="408"/>
      <c r="F22" s="567" t="s">
        <v>32</v>
      </c>
      <c r="G22" s="407"/>
      <c r="H22" s="408"/>
      <c r="I22" s="273">
        <f>IF(F22="Nouveau Client",3,IF(F22="Excellent",1,IF(F22="Très bien",2,IF(F22="Bien",3,IF(F22="Passable",4,IF(F22="Faible",5,IF(F22="Très faible",6,"")))))))</f>
        <v>4</v>
      </c>
      <c r="J22" s="573" t="str">
        <f>IF(F22="Nouveau Client","Il s'agit d'un nouveau client sans historique de crédit",IF(F22="Excellent","Plus de 10 crédits déjà remboursés et n'ayant jamais de retard",IF(F22="Très bien","Entre 5 et 10 crédits remboursés - Aucun retard de remboursement",IF(F22="Bien","Plus de 5 crédits remboursés et des retards ayant cumulés moins de 60 jours",IF(F22="Passable","Entre 3 et 5 crédits remboursés - Retards compris entre 60 et 90 jours",IF(F22="Faible","Entre 1 et 5 crédits remboursés - Crédit en retard et provisionné",IF(F22="Très faible","Ancien client - Crédit précedemment radié","")))))))</f>
        <v>Entre 3 et 5 crédits remboursés - Retards compris entre 60 et 90 jours</v>
      </c>
      <c r="K22" s="407"/>
      <c r="L22" s="408"/>
      <c r="M22" s="565"/>
      <c r="N22" s="407"/>
      <c r="O22" s="408"/>
      <c r="P22" s="71"/>
    </row>
    <row r="23" spans="2:16" ht="73.5" customHeight="1" x14ac:dyDescent="0.3">
      <c r="B23" s="70"/>
      <c r="C23" s="571" t="str">
        <f>IF('1. DEMANDE'!G30="","C. Accès aux intrants 
Accès et approvisionnement en intrants, Capacité de négociation des intrants, Disponibilités des intrants,  Fluctuation des prix, Niveau d’organisation de la filière, Regroupement pour achat, etc.",IF('1. DEMANDE'!G30="AGRICULTURE","C. Accès aux intrants 
Accès et approvisionnement en intrants, Capacité de négociation des intrants, Disponibilités des intrants,  Fluctuation des prix, Niveau d’organisation de la filière, Regroupement pour achat, etc.","C. Accès aux approvisionnements
Accès et approvisionnement, Capacité de négociation, Disponibilités des articles,  Fluctuation des prix, etc."))</f>
        <v>C. Accès aux intrants 
Accès et approvisionnement en intrants, Capacité de négociation des intrants, Disponibilités des intrants,  Fluctuation des prix, Niveau d’organisation de la filière, Regroupement pour achat, etc.</v>
      </c>
      <c r="D23" s="407"/>
      <c r="E23" s="408"/>
      <c r="F23" s="567" t="s">
        <v>41</v>
      </c>
      <c r="G23" s="407"/>
      <c r="H23" s="408"/>
      <c r="I23" s="273">
        <f t="shared" ref="I23:I28" si="0">IF(F23="Excellent",1,IF(F23="Très bien",2,IF(F23="Bien",3,IF(F23="Passable",4,IF(F23="Faible",5,IF(F23="Très faible",6,""))))))</f>
        <v>2</v>
      </c>
      <c r="J23" s="573" t="str">
        <f>IF(F23="Excellent","Accès aux intrants de qualité, subventionnés, achats groupés",IF(F23="Très bien","Accès facile aux intrants",IF(F23="Bien","Accès aux intrants  sans difficultés majeures",IF(F23="Passable","Accès aux intrants avec  difficultés",IF(F23="Faible","Accès aux intrants très limité",IF(F23="Très faible","Aucun accès",""))))))</f>
        <v>Accès facile aux intrants</v>
      </c>
      <c r="K23" s="407"/>
      <c r="L23" s="408"/>
      <c r="M23" s="564"/>
      <c r="N23" s="407"/>
      <c r="O23" s="408"/>
      <c r="P23" s="71"/>
    </row>
    <row r="24" spans="2:16" ht="78" customHeight="1" x14ac:dyDescent="0.3">
      <c r="B24" s="70"/>
      <c r="C24" s="571" t="str">
        <f>IF('1. DEMANDE'!G30="","D. Accès et position dans le marché
Débouchés pour le produit, part de marché, Infrastructures pour la vente différée, Fluctuation des prix, Niveau d’organisation de la filière, Regroupement pour  vente, Concurrence, réputation, contrôle des prix, etc.",IF('1. DEMANDE'!G30="AGRICULTURE","D. Accès et position dans le marché
Débouchés pour le produit, part de marché, Infrastructures pour la vente différée, Fluctuation des prix, Niveau d’organisation de la filière, Regroupement pour  vente, Concurrence, réputation, contrôle des prix, etc.","D. Accès et position dans le marché
Débouchés pour le produit, part de marché, Infrastructures pour la vente, Fluctuation des prix, Concurrence, réputation, contrôle des prix, etc."))</f>
        <v>D. Accès et position dans le marché
Débouchés pour le produit, part de marché, Infrastructures pour la vente différée, Fluctuation des prix, Niveau d’organisation de la filière, Regroupement pour  vente, Concurrence, réputation, contrôle des prix, etc.</v>
      </c>
      <c r="D24" s="407"/>
      <c r="E24" s="408"/>
      <c r="F24" s="567" t="s">
        <v>73</v>
      </c>
      <c r="G24" s="407"/>
      <c r="H24" s="408"/>
      <c r="I24" s="273">
        <f t="shared" si="0"/>
        <v>3</v>
      </c>
      <c r="J24" s="573" t="str">
        <f>IF(F24="Excellent","Contrat d’achat avec prix garanti avec une société reconnue",IF(F24="Très bien","Entente contractuelle avec un groupement ou une société portant sur le prix et/ou la quantité",IF(F24="Bien","Mise en marché commun mais sans garantie",IF(F24="Passable","Distribution par des intermédiaires ",IF(F24="Faible","Vente directe au marché ou à la demande",IF(F24="Très Faible","Canaux de mise en marché non connus",""))))))</f>
        <v>Mise en marché commun mais sans garantie</v>
      </c>
      <c r="K24" s="407"/>
      <c r="L24" s="408"/>
      <c r="M24" s="564"/>
      <c r="N24" s="407"/>
      <c r="O24" s="408"/>
      <c r="P24" s="71"/>
    </row>
    <row r="25" spans="2:16" ht="60" customHeight="1" x14ac:dyDescent="0.3">
      <c r="B25" s="70"/>
      <c r="C25" s="571" t="str">
        <f>IF('1. DEMANDE'!G30="","E. Qualité des actifs de l'entreprise/exploitation
Terres, équipement, Technologie, composition, valeur, âge, désuétude, spécificité, etc.)",IF('1. DEMANDE'!G30="AGRICULTURE","E. Qualité des actifs de l'entreprise/exploitation
Terres, équipement, Technologie, composition, valeur, âge, désuétude, spécificité, etc.)","E. Qualité des actifs de l'entreprise/exploitation 
Particularité des actifs liés à l'activité, etc."))</f>
        <v>E. Qualité des actifs de l'entreprise/exploitation
Terres, équipement, Technologie, composition, valeur, âge, désuétude, spécificité, etc.)</v>
      </c>
      <c r="D25" s="407"/>
      <c r="E25" s="408"/>
      <c r="F25" s="567" t="s">
        <v>73</v>
      </c>
      <c r="G25" s="407"/>
      <c r="H25" s="408"/>
      <c r="I25" s="273">
        <f t="shared" si="0"/>
        <v>3</v>
      </c>
      <c r="J25" s="573" t="str">
        <f>IF(F25="Excellent","Terre disponible et très fertile, équipements neufs avec existence de pièces de rechange sur le marché, technologie très bien adaptée",IF(F25="Très bien","Existence de matériels d'exploitation, terre disponible et de bonne qualité, tehnologie en cours d'amélioration",IF(F25="Bien","Terre disponible et régulièrement exploitée, existence d'équipement, pas de technologie particulière",IF(F25="Passable","Terre disponible et régulièrement exploitée - Nécessité d'apport de fumure - pas de technologie",IF(F25="Faible","Terre disponible nécessitant des apports de fumure avec un rendement en-dessous de la moyenne, équipement vétuste",IF(F25="Très faible","Terre nécéssitant la mise en jachère, Équipement vétuste et utilisation de technique de production dépassée",""))))))</f>
        <v>Terre disponible et régulièrement exploitée, existence d'équipement, pas de technologie particulière</v>
      </c>
      <c r="K25" s="407"/>
      <c r="L25" s="408"/>
      <c r="M25" s="564"/>
      <c r="N25" s="407"/>
      <c r="O25" s="408"/>
      <c r="P25" s="71"/>
    </row>
    <row r="26" spans="2:16" ht="63.75" customHeight="1" x14ac:dyDescent="0.3">
      <c r="B26" s="70"/>
      <c r="C26" s="571" t="str">
        <f>IF('1. DEMANDE'!G30="","F. Production et Exploitation
Climat, pluviométrie, maladie, ravageurs, disponibilité des ressources humaines, etc.",IF('1. DEMANDE'!G30="AGRICULTURE","F. Production et Exploitation
Climat, pluviométrie, maladie, ravageurs, disponibilité des ressources humaines, etc.","F. Risque de continuité de l'exploitation
Risque politique, réglementation, disponibilité des ressources humaines, etc."))</f>
        <v>F. Production et Exploitation
Climat, pluviométrie, maladie, ravageurs, disponibilité des ressources humaines, etc.</v>
      </c>
      <c r="D26" s="407"/>
      <c r="E26" s="408"/>
      <c r="F26" s="567" t="s">
        <v>155</v>
      </c>
      <c r="G26" s="407"/>
      <c r="H26" s="408"/>
      <c r="I26" s="273">
        <f t="shared" si="0"/>
        <v>6</v>
      </c>
      <c r="J26" s="573" t="str">
        <f>IF(F26="Excellent","Très bonne disposition pour atténuer les risques climatiques, Diversification de la production et des revenus, Assurance récole",IF(F26="Très bien","Apte à réagir face aux risques de production agricole - Autre source de revenus disponible",IF(F26="Bien","Connaissance des risques de production agricole - Expérience dans la gestion",IF(F26="Passable","Une bonne connaissance des risques de production agricole mais sans mesures appropriées d'atténuation",IF(F26="Faible","Absence de mesures d'atténuation face aux risques agricoles - Difficultés d'accès à la main d'oeuvre",IF(F26="Très faible","Aucune connaissance des risques agricoles - Difficultés d'accès à la main d'oeuvre",""))))))</f>
        <v>Aucune connaissance des risques agricoles - Difficultés d'accès à la main d'oeuvre</v>
      </c>
      <c r="K26" s="407"/>
      <c r="L26" s="408"/>
      <c r="M26" s="564"/>
      <c r="N26" s="407"/>
      <c r="O26" s="408"/>
      <c r="P26" s="71"/>
    </row>
    <row r="27" spans="2:16" ht="60" customHeight="1" x14ac:dyDescent="0.3">
      <c r="B27" s="70"/>
      <c r="C27" s="568" t="s">
        <v>657</v>
      </c>
      <c r="D27" s="569"/>
      <c r="E27" s="570"/>
      <c r="F27" s="567" t="s">
        <v>41</v>
      </c>
      <c r="G27" s="407"/>
      <c r="H27" s="408"/>
      <c r="I27" s="273">
        <f t="shared" si="0"/>
        <v>2</v>
      </c>
      <c r="J27" s="573" t="str">
        <f>IF(F27="Excellent","Catégorisé-C Bonne pratique culturale respectueuse de l'environnement, protection, Utilisation des produits bio.",IF(F27="Très bien","  Catégorisé-C Bonne pratique culturale respectueuse de l'environnement, protection, Utilisation des produits des engrais homologués.",IF(F27="Bien","Catégorisé-C utilisation des engrais homologués, protection",IF(F27="Passable","Catégorisé-C Utilisation des engrais chimiques homologués sans protection adéquate.",IF(F27="Faible","Catégorisé-B Utilisation des produits homologués sans protection adéquate.",IF(F27="Très faible","Catégorisé-A Utilisation des produits non homologués sans aucune protection",""))))))</f>
        <v xml:space="preserve">  Catégorisé-C Bonne pratique culturale respectueuse de l'environnement, protection, Utilisation des produits des engrais homologués.</v>
      </c>
      <c r="K27" s="407"/>
      <c r="L27" s="408"/>
      <c r="M27" s="564"/>
      <c r="N27" s="407"/>
      <c r="O27" s="408"/>
      <c r="P27" s="71"/>
    </row>
    <row r="28" spans="2:16" ht="87" customHeight="1" x14ac:dyDescent="0.3">
      <c r="B28" s="70"/>
      <c r="C28" s="579" t="s">
        <v>658</v>
      </c>
      <c r="D28" s="407"/>
      <c r="E28" s="408"/>
      <c r="F28" s="567" t="s">
        <v>73</v>
      </c>
      <c r="G28" s="407"/>
      <c r="H28" s="408"/>
      <c r="I28" s="273">
        <f t="shared" si="0"/>
        <v>3</v>
      </c>
      <c r="J28" s="573" t="str">
        <f>IF(F28="Excellent","Tous les ratios sont largement au-dessus de la norme; la capacité de remboursement est de plus 300% le service de la dette et le niveau d'endettement est de moins de 10% des fonds propres",IF(F28="Très bien","Tous les ratios sont largement au-dessus de la norme; la capacité de remboursement est de plus 200% le service de la dette et le niveau d'endettement est de moins de 50% des fonds propres",IF(F28="Bien","5 ratios sur 8 sont au-dessus de la norme; la capacité de remboursement est de plus 150% le service de la dette et le niveau d'endettement est de moins de 75% des fonds propres",IF(F28="Passable","4 ratios sur 8 sont au-dessus de la norme; la capacité de remboursement est de plus de 100% le service de la dette et le niveau d'endettement est de moins de 100% des fonds propres",IF(F28="Faible","Moins de 4 ratios sont au-dessus de la norme; la capacité de remboursement est de moins de 100% le service de la dette et le niveau d'endettement est de plus de 100% des fonds propres",IF(F28="Très faible","Moins de 4 ratios sont au-dessus de la norme; la capacité de remboursement est négative et le niveau d'endettement est de plus de 100% des fonds propres",""))))))</f>
        <v>5 ratios sur 8 sont au-dessus de la norme; la capacité de remboursement est de plus 150% le service de la dette et le niveau d'endettement est de moins de 75% des fonds propres</v>
      </c>
      <c r="K28" s="407"/>
      <c r="L28" s="408"/>
      <c r="M28" s="564"/>
      <c r="N28" s="407"/>
      <c r="O28" s="408"/>
      <c r="P28" s="71"/>
    </row>
    <row r="29" spans="2:16" ht="15.75" customHeight="1" x14ac:dyDescent="0.3">
      <c r="B29" s="91"/>
      <c r="C29" s="92"/>
      <c r="D29" s="92"/>
      <c r="E29" s="92"/>
      <c r="F29" s="92"/>
      <c r="G29" s="92"/>
      <c r="H29" s="92"/>
      <c r="I29" s="92"/>
      <c r="J29" s="92"/>
      <c r="K29" s="92"/>
      <c r="L29" s="92"/>
      <c r="M29" s="92"/>
      <c r="N29" s="92"/>
      <c r="O29" s="92"/>
      <c r="P29" s="93"/>
    </row>
    <row r="30" spans="2:16" ht="15.75" customHeight="1" x14ac:dyDescent="0.3"/>
    <row r="31" spans="2:16" ht="15.75" customHeight="1" x14ac:dyDescent="0.3"/>
    <row r="32" spans="2: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52">
    <mergeCell ref="C26:E26"/>
    <mergeCell ref="C22:E22"/>
    <mergeCell ref="C28:E28"/>
    <mergeCell ref="C23:E23"/>
    <mergeCell ref="C27:E27"/>
    <mergeCell ref="B9:P9"/>
    <mergeCell ref="I11:O11"/>
    <mergeCell ref="C12:G12"/>
    <mergeCell ref="C15:G15"/>
    <mergeCell ref="C14:G14"/>
    <mergeCell ref="M28:O28"/>
    <mergeCell ref="J28:L28"/>
    <mergeCell ref="M7:O7"/>
    <mergeCell ref="M26:O26"/>
    <mergeCell ref="F26:H26"/>
    <mergeCell ref="J21:L21"/>
    <mergeCell ref="I12:O12"/>
    <mergeCell ref="F27:H27"/>
    <mergeCell ref="F28:H28"/>
    <mergeCell ref="B18:P18"/>
    <mergeCell ref="M20:O20"/>
    <mergeCell ref="J20:L20"/>
    <mergeCell ref="F23:H23"/>
    <mergeCell ref="J22:L22"/>
    <mergeCell ref="J23:L23"/>
    <mergeCell ref="F22:H22"/>
    <mergeCell ref="J26:L26"/>
    <mergeCell ref="I14:O14"/>
    <mergeCell ref="I15:O15"/>
    <mergeCell ref="M27:O27"/>
    <mergeCell ref="J27:L27"/>
    <mergeCell ref="J24:L24"/>
    <mergeCell ref="M23:O23"/>
    <mergeCell ref="B3:D3"/>
    <mergeCell ref="B5:D5"/>
    <mergeCell ref="E3:I3"/>
    <mergeCell ref="M3:O3"/>
    <mergeCell ref="M5:O5"/>
    <mergeCell ref="C21:E21"/>
    <mergeCell ref="M21:O21"/>
    <mergeCell ref="F25:H25"/>
    <mergeCell ref="C25:E25"/>
    <mergeCell ref="C11:G11"/>
    <mergeCell ref="J25:L25"/>
    <mergeCell ref="C20:E20"/>
    <mergeCell ref="F24:H24"/>
    <mergeCell ref="C24:E24"/>
    <mergeCell ref="M25:O25"/>
    <mergeCell ref="M24:O24"/>
    <mergeCell ref="M22:O22"/>
    <mergeCell ref="F20:G20"/>
    <mergeCell ref="F21:H21"/>
  </mergeCells>
  <conditionalFormatting sqref="I21:I28">
    <cfRule type="containsText" dxfId="27" priority="1" operator="containsText" text="1">
      <formula>NOT(ISERROR(SEARCH(("1"),(I21))))</formula>
    </cfRule>
    <cfRule type="containsText" dxfId="26" priority="2" operator="containsText" text="2">
      <formula>NOT(ISERROR(SEARCH(("2"),(I21))))</formula>
    </cfRule>
    <cfRule type="containsText" dxfId="25" priority="3" operator="containsText" text="3">
      <formula>NOT(ISERROR(SEARCH(("3"),(I21))))</formula>
    </cfRule>
    <cfRule type="containsText" dxfId="24" priority="4" operator="containsText" text="4">
      <formula>NOT(ISERROR(SEARCH(("4"),(I21))))</formula>
    </cfRule>
    <cfRule type="containsText" dxfId="23" priority="5" operator="containsText" text="5">
      <formula>NOT(ISERROR(SEARCH(("5"),(I21))))</formula>
    </cfRule>
    <cfRule type="containsText" dxfId="22" priority="6" operator="containsText" text="5">
      <formula>NOT(ISERROR(SEARCH(("5"),(I21))))</formula>
    </cfRule>
    <cfRule type="containsText" dxfId="21" priority="7" operator="containsText" text="5">
      <formula>NOT(ISERROR(SEARCH(("5"),(I21))))</formula>
    </cfRule>
    <cfRule type="containsText" dxfId="20" priority="8" operator="containsText" text="6">
      <formula>NOT(ISERROR(SEARCH(("6"),(I21))))</formula>
    </cfRule>
  </conditionalFormatting>
  <dataValidations count="1">
    <dataValidation type="list" allowBlank="1" showErrorMessage="1" sqref="F21 F23:F28" xr:uid="{00000000-0002-0000-0900-000001000000}">
      <formula1>niveau_de_risque</formula1>
    </dataValidation>
  </dataValidations>
  <pageMargins left="0.51181102362204722" right="0.31496062992125984" top="0.55118110236220474" bottom="0.55118110236220474" header="0" footer="0"/>
  <pageSetup scale="63" orientation="portrait"/>
  <headerFooter>
    <oddFooter>&amp;LGrille d’analyse de crédit agricole développé par DID&amp;C_x000D_#000000 Usage Interne</oddFooter>
  </headerFooter>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PARAMETRAGE!$L$8:$L$14</xm:f>
          </x14:formula1>
          <xm:sqref>F22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B2:J100"/>
  <sheetViews>
    <sheetView showGridLines="0" topLeftCell="A14" workbookViewId="0">
      <selection activeCell="H20" sqref="H20"/>
    </sheetView>
  </sheetViews>
  <sheetFormatPr baseColWidth="10" defaultColWidth="14.44140625" defaultRowHeight="15" customHeight="1" x14ac:dyDescent="0.3"/>
  <cols>
    <col min="1" max="1" width="11.5546875" customWidth="1"/>
    <col min="2" max="2" width="7.109375" customWidth="1"/>
    <col min="3" max="3" width="26.44140625" customWidth="1"/>
    <col min="4" max="4" width="24.5546875" customWidth="1"/>
    <col min="5" max="5" width="10.5546875" customWidth="1"/>
    <col min="6" max="6" width="11.44140625" customWidth="1"/>
    <col min="7" max="7" width="10.88671875" customWidth="1"/>
    <col min="8" max="8" width="18.44140625" customWidth="1"/>
    <col min="9" max="9" width="20.88671875" customWidth="1"/>
    <col min="10" max="10" width="32.88671875" customWidth="1"/>
    <col min="11" max="11" width="11.5546875" customWidth="1"/>
  </cols>
  <sheetData>
    <row r="2" spans="2:9" ht="17.399999999999999" x14ac:dyDescent="0.35">
      <c r="D2" s="64"/>
      <c r="E2" s="64"/>
      <c r="F2" s="64"/>
    </row>
    <row r="3" spans="2:9" ht="17.399999999999999" x14ac:dyDescent="0.35">
      <c r="B3" s="432" t="s">
        <v>535</v>
      </c>
      <c r="C3" s="399"/>
      <c r="D3" s="487" t="str">
        <f>'1. DEMANDE'!H15</f>
        <v>MARIAMA KABA</v>
      </c>
      <c r="E3" s="382"/>
      <c r="F3" s="383"/>
      <c r="H3" s="60" t="s">
        <v>429</v>
      </c>
      <c r="I3" s="274" t="str">
        <f>'1. DEMANDE'!AD5</f>
        <v>FORECARIAH</v>
      </c>
    </row>
    <row r="4" spans="2:9" ht="9" customHeight="1" x14ac:dyDescent="0.35">
      <c r="B4" s="275"/>
      <c r="C4" s="275"/>
      <c r="H4" s="73"/>
      <c r="I4" s="73"/>
    </row>
    <row r="5" spans="2:9" ht="17.399999999999999" x14ac:dyDescent="0.35">
      <c r="B5" s="432" t="s">
        <v>536</v>
      </c>
      <c r="C5" s="399"/>
      <c r="D5" s="104">
        <f>'1. DEMANDE'!AH15</f>
        <v>10300181501</v>
      </c>
      <c r="H5" s="83" t="s">
        <v>433</v>
      </c>
      <c r="I5" s="266" t="str">
        <f>'1. DEMANDE'!AD7</f>
        <v>MOHAMED MMAH CAMARA</v>
      </c>
    </row>
    <row r="7" spans="2:9" ht="17.399999999999999" x14ac:dyDescent="0.3">
      <c r="H7" s="60" t="s">
        <v>515</v>
      </c>
      <c r="I7" s="276">
        <f>'4. BUDGET FAMILIAL'!K7</f>
        <v>46093</v>
      </c>
    </row>
    <row r="8" spans="2:9" ht="17.399999999999999" x14ac:dyDescent="0.3">
      <c r="H8" s="60"/>
      <c r="I8" s="60"/>
    </row>
    <row r="9" spans="2:9" ht="21" customHeight="1" x14ac:dyDescent="0.3">
      <c r="B9" s="584" t="s">
        <v>659</v>
      </c>
      <c r="C9" s="446"/>
      <c r="D9" s="446"/>
      <c r="E9" s="446"/>
      <c r="F9" s="446"/>
      <c r="G9" s="446"/>
      <c r="H9" s="446"/>
      <c r="I9" s="537"/>
    </row>
    <row r="10" spans="2:9" ht="7.5" customHeight="1" x14ac:dyDescent="0.3">
      <c r="B10" s="70"/>
      <c r="I10" s="71"/>
    </row>
    <row r="11" spans="2:9" ht="14.25" customHeight="1" x14ac:dyDescent="0.3">
      <c r="B11" s="582" t="s">
        <v>660</v>
      </c>
      <c r="C11" s="483"/>
      <c r="D11" s="500"/>
      <c r="E11" s="277" t="s">
        <v>661</v>
      </c>
      <c r="F11" s="278" t="s">
        <v>661</v>
      </c>
      <c r="G11" s="279" t="s">
        <v>661</v>
      </c>
      <c r="H11" s="585" t="s">
        <v>662</v>
      </c>
      <c r="I11" s="280" t="s">
        <v>663</v>
      </c>
    </row>
    <row r="12" spans="2:9" ht="14.4" x14ac:dyDescent="0.3">
      <c r="B12" s="583"/>
      <c r="C12" s="527"/>
      <c r="D12" s="530"/>
      <c r="E12" s="277" t="s">
        <v>664</v>
      </c>
      <c r="F12" s="278" t="s">
        <v>665</v>
      </c>
      <c r="G12" s="279" t="s">
        <v>666</v>
      </c>
      <c r="H12" s="533"/>
      <c r="I12" s="280" t="s">
        <v>667</v>
      </c>
    </row>
    <row r="13" spans="2:9" ht="33" customHeight="1" x14ac:dyDescent="0.3">
      <c r="B13" s="581" t="s">
        <v>668</v>
      </c>
      <c r="C13" s="407"/>
      <c r="D13" s="408"/>
      <c r="E13" s="281">
        <v>0.1</v>
      </c>
      <c r="F13" s="282"/>
      <c r="G13" s="283">
        <f t="shared" ref="G13:G20" si="0">IF(ISBLANK(F13),E13,F13)</f>
        <v>0.1</v>
      </c>
      <c r="H13" s="284">
        <f>'6. MATRICE'!I21</f>
        <v>1</v>
      </c>
      <c r="I13" s="285">
        <f>H13*G13</f>
        <v>0.1</v>
      </c>
    </row>
    <row r="14" spans="2:9" ht="17.25" customHeight="1" x14ac:dyDescent="0.3">
      <c r="B14" s="580" t="s">
        <v>669</v>
      </c>
      <c r="C14" s="407"/>
      <c r="D14" s="408"/>
      <c r="E14" s="286">
        <v>0.1</v>
      </c>
      <c r="F14" s="287"/>
      <c r="G14" s="288">
        <f t="shared" si="0"/>
        <v>0.1</v>
      </c>
      <c r="H14" s="284">
        <f>'6. MATRICE'!I22</f>
        <v>4</v>
      </c>
      <c r="I14" s="289">
        <f t="shared" ref="I14:I20" si="1">G14*H14</f>
        <v>0.4</v>
      </c>
    </row>
    <row r="15" spans="2:9" ht="17.25" customHeight="1" x14ac:dyDescent="0.3">
      <c r="B15" s="580" t="str">
        <f>IF('1. DEMANDE'!G30="","C. Accès aux intrants",IF('1. DEMANDE'!G30="AGRICULTURE","C. Accès aux intrants","C. Accès aux approvisionnements"))</f>
        <v>C. Accès aux intrants</v>
      </c>
      <c r="C15" s="407"/>
      <c r="D15" s="408"/>
      <c r="E15" s="286">
        <v>0.1</v>
      </c>
      <c r="F15" s="287"/>
      <c r="G15" s="288">
        <f t="shared" si="0"/>
        <v>0.1</v>
      </c>
      <c r="H15" s="284">
        <f>'6. MATRICE'!I23</f>
        <v>2</v>
      </c>
      <c r="I15" s="289">
        <f t="shared" si="1"/>
        <v>0.2</v>
      </c>
    </row>
    <row r="16" spans="2:9" ht="17.25" customHeight="1" x14ac:dyDescent="0.3">
      <c r="B16" s="580" t="s">
        <v>670</v>
      </c>
      <c r="C16" s="407"/>
      <c r="D16" s="408"/>
      <c r="E16" s="286">
        <v>0.1</v>
      </c>
      <c r="F16" s="287"/>
      <c r="G16" s="288">
        <f t="shared" si="0"/>
        <v>0.1</v>
      </c>
      <c r="H16" s="284">
        <f>'6. MATRICE'!I24</f>
        <v>3</v>
      </c>
      <c r="I16" s="289">
        <f t="shared" si="1"/>
        <v>0.30000000000000004</v>
      </c>
    </row>
    <row r="17" spans="2:10" ht="17.25" customHeight="1" x14ac:dyDescent="0.3">
      <c r="B17" s="580" t="s">
        <v>671</v>
      </c>
      <c r="C17" s="407"/>
      <c r="D17" s="408"/>
      <c r="E17" s="286">
        <v>0.1</v>
      </c>
      <c r="F17" s="287"/>
      <c r="G17" s="288">
        <f t="shared" si="0"/>
        <v>0.1</v>
      </c>
      <c r="H17" s="284">
        <f>'6. MATRICE'!I25</f>
        <v>3</v>
      </c>
      <c r="I17" s="289">
        <f t="shared" si="1"/>
        <v>0.30000000000000004</v>
      </c>
    </row>
    <row r="18" spans="2:10" ht="17.25" customHeight="1" x14ac:dyDescent="0.3">
      <c r="B18" s="580" t="str">
        <f>IF('1. DEMANDE'!G30="","F. Production et Exploitation",IF('1. DEMANDE'!G30="AGRICULTURE","F. Production et Exploitation","F. Risque de continuité de l'exploitation"))</f>
        <v>F. Production et Exploitation</v>
      </c>
      <c r="C18" s="407"/>
      <c r="D18" s="408"/>
      <c r="E18" s="286">
        <v>0.2</v>
      </c>
      <c r="F18" s="287"/>
      <c r="G18" s="288">
        <f t="shared" si="0"/>
        <v>0.2</v>
      </c>
      <c r="H18" s="284">
        <f>'6. MATRICE'!I26</f>
        <v>6</v>
      </c>
      <c r="I18" s="289">
        <f t="shared" si="1"/>
        <v>1.2000000000000002</v>
      </c>
    </row>
    <row r="19" spans="2:10" ht="17.25" customHeight="1" x14ac:dyDescent="0.3">
      <c r="B19" s="580" t="s">
        <v>672</v>
      </c>
      <c r="C19" s="407"/>
      <c r="D19" s="408"/>
      <c r="E19" s="286">
        <v>0.1</v>
      </c>
      <c r="F19" s="287"/>
      <c r="G19" s="288">
        <f t="shared" si="0"/>
        <v>0.1</v>
      </c>
      <c r="H19" s="284">
        <f>'6. MATRICE'!I27</f>
        <v>2</v>
      </c>
      <c r="I19" s="289">
        <f t="shared" si="1"/>
        <v>0.2</v>
      </c>
    </row>
    <row r="20" spans="2:10" ht="39" customHeight="1" x14ac:dyDescent="0.3">
      <c r="B20" s="580" t="s">
        <v>673</v>
      </c>
      <c r="C20" s="407"/>
      <c r="D20" s="408"/>
      <c r="E20" s="286">
        <v>0.2</v>
      </c>
      <c r="F20" s="287"/>
      <c r="G20" s="288">
        <f t="shared" si="0"/>
        <v>0.2</v>
      </c>
      <c r="H20" s="284">
        <f>'6. MATRICE'!I28</f>
        <v>3</v>
      </c>
      <c r="I20" s="289">
        <f t="shared" si="1"/>
        <v>0.60000000000000009</v>
      </c>
    </row>
    <row r="21" spans="2:10" ht="18" customHeight="1" x14ac:dyDescent="0.3">
      <c r="B21" s="586" t="str">
        <f>IF((G13+G14+G15+G16+G17+G18+G19+G20)&lt;&gt;100%,"Erreur sur les pondérations","Cote de risque")</f>
        <v>Cote de risque</v>
      </c>
      <c r="C21" s="407"/>
      <c r="D21" s="407"/>
      <c r="E21" s="407"/>
      <c r="F21" s="407"/>
      <c r="G21" s="407"/>
      <c r="H21" s="408"/>
      <c r="I21" s="290">
        <f>IF(B21="Cote de risque",(I13+I14+I15+I16+I17+I18+I19+I20),"ATTENTION")</f>
        <v>3.3000000000000003</v>
      </c>
      <c r="J21" s="291">
        <f>IF(OR(H13="",H14="",H15="",H16="",H17="",H18="",H19="",H20=""),"",ROUNDUP(I21,0))</f>
        <v>4</v>
      </c>
    </row>
    <row r="22" spans="2:10" ht="15.75" customHeight="1" x14ac:dyDescent="0.3">
      <c r="B22" s="587" t="s">
        <v>674</v>
      </c>
      <c r="C22" s="399"/>
      <c r="D22" s="399"/>
      <c r="E22" s="399"/>
      <c r="F22" s="399"/>
      <c r="G22" s="399"/>
      <c r="H22" s="399"/>
      <c r="I22" s="467"/>
    </row>
    <row r="23" spans="2:10" ht="150" customHeight="1" x14ac:dyDescent="0.3">
      <c r="B23" s="588" t="str">
        <f>IF(J21=1,PARAMETRAGE!B1,IF(J21=2,PARAMETRAGE!B2,IF(J21=3,PARAMETRAGE!B3,IF(J21=4,PARAMETRAGE!B4,IF(J21=5,PARAMETRAGE!B5,IF(J21=6,PARAMETRAGE!B6,"Veuillez noter tous les critères de risques !"))))))</f>
        <v xml:space="preserve">Il faut être prudent avec ce genre de client. Soit il est nouveau, soit il s’agir d’un emprunteur de longue date qui a connu une situation adverse avec qui il faut opérer un redressement ou d’un emprunteur qui est financièrement plus serré, mais qui démontre des aptitudes pour progresser.
Bien que non obligatoire, le support d’un conseiller technique et/ou de gestion pourrait être suggéré. Appuyez-vous sur les commentaires relatifs aux Ratios de décision pour valider votre recommandation.
</v>
      </c>
      <c r="C23" s="479"/>
      <c r="D23" s="479"/>
      <c r="E23" s="479"/>
      <c r="F23" s="479"/>
      <c r="G23" s="479"/>
      <c r="H23" s="479"/>
      <c r="I23" s="480"/>
    </row>
    <row r="24" spans="2:10" ht="15.75" customHeight="1" x14ac:dyDescent="0.3"/>
    <row r="25" spans="2:10" ht="15.75" customHeight="1" x14ac:dyDescent="0.3"/>
    <row r="26" spans="2:10" ht="15.75" customHeight="1" x14ac:dyDescent="0.3"/>
    <row r="27" spans="2:10" ht="15.75" customHeight="1" x14ac:dyDescent="0.3"/>
    <row r="28" spans="2:10" ht="15.75" customHeight="1" x14ac:dyDescent="0.3"/>
    <row r="29" spans="2:10" ht="15.75" customHeight="1" x14ac:dyDescent="0.3"/>
    <row r="30" spans="2:10" ht="15.75" customHeight="1" x14ac:dyDescent="0.3"/>
    <row r="31" spans="2:10" ht="15.75" customHeight="1" x14ac:dyDescent="0.3"/>
    <row r="32" spans="2:10"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9" customHeight="1" x14ac:dyDescent="0.3"/>
    <row r="58" ht="6"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17">
    <mergeCell ref="B22:I22"/>
    <mergeCell ref="B23:I23"/>
    <mergeCell ref="B3:C3"/>
    <mergeCell ref="D3:F3"/>
    <mergeCell ref="B5:C5"/>
    <mergeCell ref="B11:D12"/>
    <mergeCell ref="B9:I9"/>
    <mergeCell ref="H11:H12"/>
    <mergeCell ref="B20:D20"/>
    <mergeCell ref="B21:H21"/>
    <mergeCell ref="B19:D19"/>
    <mergeCell ref="B13:D13"/>
    <mergeCell ref="B14:D14"/>
    <mergeCell ref="B15:D15"/>
    <mergeCell ref="B16:D16"/>
    <mergeCell ref="B17:D17"/>
    <mergeCell ref="B18:D18"/>
  </mergeCells>
  <conditionalFormatting sqref="B21">
    <cfRule type="containsText" dxfId="19" priority="1" operator="containsText" text="Erreur sur les pondérations">
      <formula>NOT(ISERROR(SEARCH(("Erreur sur les pondérations"),(B21))))</formula>
    </cfRule>
  </conditionalFormatting>
  <conditionalFormatting sqref="B23">
    <cfRule type="beginsWith" dxfId="18" priority="2" operator="beginsWith" text="L’emprunteur (client)">
      <formula>LEFT((B23),LEN("L’emprunteur (client)"))=("L’emprunteur (client)")</formula>
    </cfRule>
    <cfRule type="beginsWith" dxfId="17" priority="3" operator="beginsWith" text="En tant que professionnel, l’agent de crédit doit traiter tous les emprunteurs avec considération et professionnalisme">
      <formula>LEFT((B23),LEN("En tant que professionnel, l’agent de crédit doit traiter tous les emprunteurs avec considération et professionnalisme"))=("En tant que professionnel, l’agent de crédit doit traiter tous les emprunteurs avec considération et professionnalisme")</formula>
    </cfRule>
    <cfRule type="beginsWith" dxfId="16" priority="4" operator="beginsWith" text="Il faut être prudent ">
      <formula>LEFT((B23),LEN("Il faut être prudent "))=("Il faut être prudent ")</formula>
    </cfRule>
    <cfRule type="beginsWith" dxfId="15" priority="5" operator="beginsWith" text="L’emprunteur faisant partie de cette catégorie ne constitue pas un risque dans la mesure">
      <formula>LEFT((B23),LEN("L’emprunteur faisant partie de cette catégorie ne constitue pas un risque dans la mesure"))=("L’emprunteur faisant partie de cette catégorie ne constitue pas un risque dans la mesure")</formula>
    </cfRule>
    <cfRule type="beginsWith" dxfId="14" priority="6" operator="beginsWith" text="Il est évident que l’emprunteur ayant une cote de risque basse">
      <formula>LEFT((B23),LEN("Il est évident que l’emprunteur ayant une cote de risque basse"))=("Il est évident que l’emprunteur ayant une cote de risque basse")</formula>
    </cfRule>
    <cfRule type="beginsWith" dxfId="13" priority="7" operator="beginsWith" text="L’emprunteur fait partie de l’élite des producteurs">
      <formula>LEFT((B23),LEN("L’emprunteur fait partie de l’élite des producteurs"))=("L’emprunteur fait partie de l’élite des producteurs")</formula>
    </cfRule>
  </conditionalFormatting>
  <conditionalFormatting sqref="I21">
    <cfRule type="containsText" dxfId="12" priority="8" operator="containsText" text="ERREUR">
      <formula>NOT(ISERROR(SEARCH(("ERREUR"),(I21))))</formula>
    </cfRule>
  </conditionalFormatting>
  <pageMargins left="0.9055118110236221" right="0.51181102362204722" top="0.74803149606299213" bottom="0.74803149606299213" header="0" footer="0"/>
  <pageSetup scale="65" orientation="portrait"/>
  <headerFooter>
    <oddFooter>&amp;LGrille d’analyse de crédit agricole développé par DID&amp;C_x000D_#000000 Usage Interne</oddFooter>
  </headerFooter>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DA63"/>
  </sheetPr>
  <dimension ref="B2:N100"/>
  <sheetViews>
    <sheetView showGridLines="0" topLeftCell="A4" workbookViewId="0">
      <selection activeCell="M12" sqref="M12"/>
    </sheetView>
  </sheetViews>
  <sheetFormatPr baseColWidth="10" defaultColWidth="14.44140625" defaultRowHeight="15" customHeight="1" x14ac:dyDescent="0.3"/>
  <cols>
    <col min="1" max="1" width="11.5546875" customWidth="1"/>
    <col min="2" max="2" width="4.5546875" customWidth="1"/>
    <col min="3" max="3" width="20.109375" customWidth="1"/>
    <col min="4" max="4" width="7.5546875" customWidth="1"/>
    <col min="5" max="5" width="2" customWidth="1"/>
    <col min="6" max="7" width="11.5546875" customWidth="1"/>
    <col min="8" max="8" width="4.44140625" customWidth="1"/>
    <col min="9" max="9" width="4.109375" customWidth="1"/>
    <col min="10" max="10" width="3.5546875" customWidth="1"/>
    <col min="11" max="11" width="6.88671875" customWidth="1"/>
    <col min="12" max="12" width="11.44140625" customWidth="1"/>
    <col min="13" max="13" width="29.5546875" customWidth="1"/>
    <col min="14" max="14" width="1.44140625" customWidth="1"/>
    <col min="15" max="17" width="11.5546875" customWidth="1"/>
  </cols>
  <sheetData>
    <row r="2" spans="2:14" ht="17.399999999999999" x14ac:dyDescent="0.35">
      <c r="B2" s="432" t="s">
        <v>535</v>
      </c>
      <c r="C2" s="399"/>
      <c r="D2" s="399"/>
      <c r="E2" s="399"/>
      <c r="F2" s="487" t="str">
        <f>'1. DEMANDE'!H15</f>
        <v>MARIAMA KABA</v>
      </c>
      <c r="G2" s="382"/>
      <c r="H2" s="382"/>
      <c r="I2" s="383"/>
      <c r="J2" s="292"/>
      <c r="K2" s="292"/>
      <c r="L2" s="60" t="s">
        <v>429</v>
      </c>
      <c r="M2" s="293" t="str">
        <f>'1. DEMANDE'!AD5</f>
        <v>FORECARIAH</v>
      </c>
      <c r="N2" s="151"/>
    </row>
    <row r="3" spans="2:14" ht="12.75" customHeight="1" x14ac:dyDescent="0.35">
      <c r="B3" s="73"/>
      <c r="C3" s="73"/>
      <c r="D3" s="73"/>
      <c r="E3" s="73"/>
      <c r="F3" s="73"/>
      <c r="G3" s="73"/>
      <c r="H3" s="73"/>
      <c r="I3" s="73"/>
      <c r="J3" s="73"/>
      <c r="K3" s="73"/>
      <c r="L3" s="73"/>
      <c r="M3" s="73"/>
      <c r="N3" s="73"/>
    </row>
    <row r="4" spans="2:14" ht="17.399999999999999" x14ac:dyDescent="0.35">
      <c r="B4" s="432" t="s">
        <v>536</v>
      </c>
      <c r="C4" s="399"/>
      <c r="D4" s="399"/>
      <c r="E4" s="83"/>
      <c r="F4" s="487">
        <f>'1. DEMANDE'!AH15</f>
        <v>10300181501</v>
      </c>
      <c r="G4" s="383"/>
      <c r="H4" s="57"/>
      <c r="I4" s="57"/>
      <c r="K4" s="424" t="s">
        <v>433</v>
      </c>
      <c r="L4" s="399"/>
      <c r="M4" s="266" t="str">
        <f>'1. DEMANDE'!AD7</f>
        <v>MOHAMED MMAH CAMARA</v>
      </c>
      <c r="N4" s="73"/>
    </row>
    <row r="5" spans="2:14" ht="12" customHeight="1" x14ac:dyDescent="0.3">
      <c r="N5" s="112"/>
    </row>
    <row r="6" spans="2:14" ht="17.399999999999999" x14ac:dyDescent="0.3">
      <c r="J6" s="449" t="s">
        <v>515</v>
      </c>
      <c r="K6" s="399"/>
      <c r="L6" s="399"/>
      <c r="M6" s="294">
        <f>'5. RESULTAT'!M7</f>
        <v>46093</v>
      </c>
    </row>
    <row r="7" spans="2:14" ht="23.25" customHeight="1" x14ac:dyDescent="0.3"/>
    <row r="8" spans="2:14" ht="18" x14ac:dyDescent="0.35">
      <c r="B8" s="66" t="s">
        <v>675</v>
      </c>
      <c r="C8" s="67" t="s">
        <v>676</v>
      </c>
      <c r="D8" s="67"/>
      <c r="E8" s="67"/>
      <c r="F8" s="67"/>
      <c r="G8" s="295"/>
      <c r="H8" s="295"/>
      <c r="I8" s="295"/>
      <c r="J8" s="295"/>
      <c r="K8" s="295"/>
      <c r="L8" s="295"/>
      <c r="M8" s="295"/>
      <c r="N8" s="296"/>
    </row>
    <row r="9" spans="2:14" ht="14.4" x14ac:dyDescent="0.3">
      <c r="B9" s="70"/>
      <c r="N9" s="71"/>
    </row>
    <row r="10" spans="2:14" ht="15.6" x14ac:dyDescent="0.3">
      <c r="B10" s="70"/>
      <c r="C10" s="297" t="s">
        <v>677</v>
      </c>
      <c r="D10" s="298"/>
      <c r="E10" s="298"/>
      <c r="F10" s="298"/>
      <c r="G10" s="298"/>
      <c r="H10" s="297"/>
      <c r="I10" s="298" t="s">
        <v>678</v>
      </c>
      <c r="J10" s="298"/>
      <c r="K10" s="298"/>
      <c r="L10" s="298"/>
      <c r="M10" s="298"/>
      <c r="N10" s="299"/>
    </row>
    <row r="11" spans="2:14" ht="9.75" customHeight="1" x14ac:dyDescent="0.3">
      <c r="B11" s="70"/>
      <c r="C11" s="300"/>
      <c r="H11" s="300"/>
      <c r="N11" s="71"/>
    </row>
    <row r="12" spans="2:14" ht="15.6" x14ac:dyDescent="0.3">
      <c r="B12" s="70"/>
      <c r="C12" s="301" t="s">
        <v>679</v>
      </c>
      <c r="D12" s="602">
        <f>'1. DEMANDE'!H50</f>
        <v>300000000</v>
      </c>
      <c r="E12" s="382"/>
      <c r="F12" s="383"/>
      <c r="G12" s="153"/>
      <c r="H12" s="301"/>
      <c r="I12" s="509" t="s">
        <v>680</v>
      </c>
      <c r="J12" s="399"/>
      <c r="K12" s="399"/>
      <c r="L12" s="399"/>
      <c r="M12" s="302">
        <v>300000000</v>
      </c>
      <c r="N12" s="303"/>
    </row>
    <row r="13" spans="2:14" ht="6" customHeight="1" x14ac:dyDescent="0.3">
      <c r="B13" s="70"/>
      <c r="C13" s="301"/>
      <c r="D13" s="304"/>
      <c r="E13" s="304"/>
      <c r="F13" s="304"/>
      <c r="G13" s="153"/>
      <c r="H13" s="301"/>
      <c r="I13" s="149"/>
      <c r="J13" s="149"/>
      <c r="K13" s="149"/>
      <c r="L13" s="149"/>
      <c r="M13" s="305"/>
      <c r="N13" s="303"/>
    </row>
    <row r="14" spans="2:14" ht="15.6" x14ac:dyDescent="0.3">
      <c r="B14" s="70"/>
      <c r="C14" s="301" t="s">
        <v>681</v>
      </c>
      <c r="D14" s="603">
        <f>'1. DEMANDE'!G52</f>
        <v>0.03</v>
      </c>
      <c r="E14" s="382"/>
      <c r="F14" s="383"/>
      <c r="G14" s="153"/>
      <c r="H14" s="301"/>
      <c r="I14" s="509" t="s">
        <v>681</v>
      </c>
      <c r="J14" s="399"/>
      <c r="K14" s="399"/>
      <c r="L14" s="399"/>
      <c r="M14" s="306">
        <v>0.03</v>
      </c>
      <c r="N14" s="303"/>
    </row>
    <row r="15" spans="2:14" ht="7.5" customHeight="1" x14ac:dyDescent="0.3">
      <c r="B15" s="70"/>
      <c r="C15" s="301"/>
      <c r="D15" s="304"/>
      <c r="E15" s="304"/>
      <c r="F15" s="304"/>
      <c r="G15" s="153"/>
      <c r="H15" s="301"/>
      <c r="I15" s="149"/>
      <c r="J15" s="149"/>
      <c r="K15" s="149"/>
      <c r="L15" s="149"/>
      <c r="M15" s="305"/>
      <c r="N15" s="303"/>
    </row>
    <row r="16" spans="2:14" ht="15.6" x14ac:dyDescent="0.3">
      <c r="B16" s="70"/>
      <c r="C16" s="301" t="s">
        <v>682</v>
      </c>
      <c r="D16" s="602">
        <f>'1. DEMANDE'!V50</f>
        <v>8</v>
      </c>
      <c r="E16" s="382"/>
      <c r="F16" s="383"/>
      <c r="G16" s="153"/>
      <c r="H16" s="301"/>
      <c r="I16" s="509" t="s">
        <v>683</v>
      </c>
      <c r="J16" s="399"/>
      <c r="K16" s="399"/>
      <c r="L16" s="399"/>
      <c r="M16" s="307">
        <v>11</v>
      </c>
      <c r="N16" s="303"/>
    </row>
    <row r="17" spans="2:14" ht="6" customHeight="1" x14ac:dyDescent="0.3">
      <c r="B17" s="70"/>
      <c r="C17" s="301"/>
      <c r="D17" s="304"/>
      <c r="E17" s="304"/>
      <c r="F17" s="304"/>
      <c r="G17" s="153"/>
      <c r="H17" s="301"/>
      <c r="I17" s="149"/>
      <c r="J17" s="149"/>
      <c r="K17" s="149"/>
      <c r="L17" s="149"/>
      <c r="M17" s="305"/>
      <c r="N17" s="303"/>
    </row>
    <row r="18" spans="2:14" ht="15.6" x14ac:dyDescent="0.3">
      <c r="B18" s="70"/>
      <c r="C18" s="301" t="s">
        <v>684</v>
      </c>
      <c r="D18" s="602">
        <f>'1. DEMANDE'!Q52</f>
        <v>5</v>
      </c>
      <c r="E18" s="382"/>
      <c r="F18" s="383"/>
      <c r="G18" s="153"/>
      <c r="H18" s="301"/>
      <c r="I18" s="509" t="s">
        <v>685</v>
      </c>
      <c r="J18" s="399"/>
      <c r="K18" s="399"/>
      <c r="L18" s="399"/>
      <c r="M18" s="307">
        <v>9</v>
      </c>
      <c r="N18" s="303"/>
    </row>
    <row r="19" spans="2:14" ht="5.25" customHeight="1" x14ac:dyDescent="0.3">
      <c r="B19" s="70"/>
      <c r="C19" s="301"/>
      <c r="D19" s="308"/>
      <c r="E19" s="308"/>
      <c r="F19" s="308"/>
      <c r="G19" s="153"/>
      <c r="H19" s="301"/>
      <c r="I19" s="149"/>
      <c r="J19" s="149"/>
      <c r="K19" s="149"/>
      <c r="L19" s="149"/>
      <c r="M19" s="149"/>
      <c r="N19" s="303"/>
    </row>
    <row r="20" spans="2:14" ht="15.6" x14ac:dyDescent="0.3">
      <c r="B20" s="70"/>
      <c r="C20" s="301"/>
      <c r="D20" s="304"/>
      <c r="E20" s="304"/>
      <c r="F20" s="304"/>
      <c r="G20" s="153"/>
      <c r="H20" s="301"/>
      <c r="I20" s="509" t="s">
        <v>686</v>
      </c>
      <c r="J20" s="399"/>
      <c r="K20" s="399"/>
      <c r="L20" s="399"/>
      <c r="M20" s="309">
        <v>3</v>
      </c>
      <c r="N20" s="303"/>
    </row>
    <row r="21" spans="2:14" ht="3" customHeight="1" x14ac:dyDescent="0.3">
      <c r="B21" s="70"/>
      <c r="C21" s="301"/>
      <c r="D21" s="304"/>
      <c r="E21" s="304"/>
      <c r="F21" s="304"/>
      <c r="G21" s="153"/>
      <c r="H21" s="301"/>
      <c r="I21" s="149"/>
      <c r="J21" s="149"/>
      <c r="K21" s="149"/>
      <c r="L21" s="149"/>
      <c r="M21" s="149"/>
      <c r="N21" s="303"/>
    </row>
    <row r="22" spans="2:14" ht="15.75" customHeight="1" x14ac:dyDescent="0.3">
      <c r="B22" s="70"/>
      <c r="C22" s="301" t="s">
        <v>687</v>
      </c>
      <c r="D22" s="602">
        <f>'1. DEMANDE'!AH52</f>
        <v>363000000</v>
      </c>
      <c r="E22" s="382"/>
      <c r="F22" s="383"/>
      <c r="G22" s="153"/>
      <c r="H22" s="301"/>
      <c r="I22" s="509" t="s">
        <v>688</v>
      </c>
      <c r="J22" s="399"/>
      <c r="K22" s="399"/>
      <c r="L22" s="399"/>
      <c r="M22" s="302">
        <v>181000000</v>
      </c>
      <c r="N22" s="303"/>
    </row>
    <row r="23" spans="2:14" ht="6" customHeight="1" x14ac:dyDescent="0.3">
      <c r="B23" s="70"/>
      <c r="C23" s="301"/>
      <c r="D23" s="304"/>
      <c r="E23" s="304"/>
      <c r="F23" s="304"/>
      <c r="G23" s="153"/>
      <c r="H23" s="301"/>
      <c r="I23" s="149"/>
      <c r="J23" s="149"/>
      <c r="K23" s="149"/>
      <c r="L23" s="149"/>
      <c r="M23" s="305"/>
      <c r="N23" s="303"/>
    </row>
    <row r="24" spans="2:14" ht="15.75" customHeight="1" x14ac:dyDescent="0.3">
      <c r="B24" s="70"/>
      <c r="C24" s="301" t="s">
        <v>689</v>
      </c>
      <c r="D24" s="604" t="str">
        <f>'1. DEMANDE'!AI50</f>
        <v>Mensuelle</v>
      </c>
      <c r="E24" s="382"/>
      <c r="F24" s="383"/>
      <c r="G24" s="153"/>
      <c r="H24" s="301"/>
      <c r="I24" s="509" t="s">
        <v>690</v>
      </c>
      <c r="J24" s="399"/>
      <c r="K24" s="399"/>
      <c r="L24" s="399"/>
      <c r="M24" s="305">
        <f>IF(M12="","",((M22*M20)-M12))</f>
        <v>243000000</v>
      </c>
      <c r="N24" s="303"/>
    </row>
    <row r="25" spans="2:14" ht="15.75" customHeight="1" x14ac:dyDescent="0.3">
      <c r="B25" s="70"/>
      <c r="C25" s="301"/>
      <c r="D25" s="153"/>
      <c r="E25" s="153"/>
      <c r="F25" s="153"/>
      <c r="G25" s="153"/>
      <c r="H25" s="301"/>
      <c r="I25" s="149"/>
      <c r="J25" s="149"/>
      <c r="K25" s="149"/>
      <c r="L25" s="149"/>
      <c r="M25" s="153"/>
      <c r="N25" s="303"/>
    </row>
    <row r="26" spans="2:14" ht="15.75" customHeight="1" x14ac:dyDescent="0.3">
      <c r="B26" s="70"/>
      <c r="C26" s="301" t="s">
        <v>691</v>
      </c>
      <c r="D26" s="605"/>
      <c r="E26" s="399"/>
      <c r="F26" s="399"/>
      <c r="G26" s="153"/>
      <c r="H26" s="301"/>
      <c r="I26" s="310" t="s">
        <v>692</v>
      </c>
      <c r="J26" s="310"/>
      <c r="K26" s="310"/>
      <c r="L26" s="310"/>
      <c r="M26" s="310"/>
      <c r="N26" s="303"/>
    </row>
    <row r="27" spans="2:14" ht="21" customHeight="1" x14ac:dyDescent="0.3">
      <c r="B27" s="70"/>
      <c r="C27" s="606" t="str">
        <f>CONCATENATE(,'1. DEMANDE'!J62,"  ",'1. DEMANDE'!J63,"   ",'1. DEMANDE'!J64,"   ",'1. DEMANDE'!J65)</f>
        <v>3 PERSONNES CAUTIONS      ATTESTATION DE CESSION ET PLAN DE MASSE( 1ha/2)   ACTE AUTHENTIQUE CONVENTION D'HYPOTHEQUE</v>
      </c>
      <c r="D27" s="418"/>
      <c r="E27" s="418"/>
      <c r="F27" s="392"/>
      <c r="H27" s="300"/>
      <c r="I27" s="601" t="s">
        <v>693</v>
      </c>
      <c r="J27" s="483"/>
      <c r="K27" s="483"/>
      <c r="L27" s="600" t="s">
        <v>694</v>
      </c>
      <c r="M27" s="312">
        <f>'1. DEMANDE'!AG66</f>
        <v>648000000</v>
      </c>
      <c r="N27" s="71"/>
    </row>
    <row r="28" spans="2:14" ht="19.5" customHeight="1" x14ac:dyDescent="0.3">
      <c r="B28" s="70"/>
      <c r="C28" s="607"/>
      <c r="D28" s="399"/>
      <c r="E28" s="399"/>
      <c r="F28" s="420"/>
      <c r="H28" s="300"/>
      <c r="I28" s="399"/>
      <c r="J28" s="399"/>
      <c r="K28" s="399"/>
      <c r="L28" s="399"/>
      <c r="M28" s="313">
        <f>M12</f>
        <v>300000000</v>
      </c>
      <c r="N28" s="71"/>
    </row>
    <row r="29" spans="2:14" ht="18.75" customHeight="1" x14ac:dyDescent="0.3">
      <c r="B29" s="70"/>
      <c r="C29" s="607"/>
      <c r="D29" s="399"/>
      <c r="E29" s="399"/>
      <c r="F29" s="420"/>
      <c r="H29" s="300"/>
      <c r="I29" s="599" t="str">
        <f>IF(M29&gt;=125%,"Norme respectée",IF(M29&lt;125%,"Hors norme",""))</f>
        <v>Norme respectée</v>
      </c>
      <c r="J29" s="399"/>
      <c r="K29" s="399"/>
      <c r="L29" s="311" t="s">
        <v>694</v>
      </c>
      <c r="M29" s="314">
        <f>M27/M28</f>
        <v>2.16</v>
      </c>
      <c r="N29" s="71"/>
    </row>
    <row r="30" spans="2:14" ht="15.75" customHeight="1" x14ac:dyDescent="0.3">
      <c r="B30" s="70"/>
      <c r="C30" s="607"/>
      <c r="D30" s="399"/>
      <c r="E30" s="399"/>
      <c r="F30" s="420"/>
      <c r="H30" s="300"/>
      <c r="I30" s="594"/>
      <c r="J30" s="418"/>
      <c r="K30" s="418"/>
      <c r="L30" s="418"/>
      <c r="M30" s="392"/>
      <c r="N30" s="71"/>
    </row>
    <row r="31" spans="2:14" ht="15.75" customHeight="1" x14ac:dyDescent="0.3">
      <c r="B31" s="70"/>
      <c r="C31" s="607"/>
      <c r="D31" s="399"/>
      <c r="E31" s="399"/>
      <c r="F31" s="420"/>
      <c r="H31" s="300"/>
      <c r="I31" s="419"/>
      <c r="J31" s="399"/>
      <c r="K31" s="399"/>
      <c r="L31" s="399"/>
      <c r="M31" s="420"/>
      <c r="N31" s="71"/>
    </row>
    <row r="32" spans="2:14" ht="15.75" customHeight="1" x14ac:dyDescent="0.3">
      <c r="B32" s="70"/>
      <c r="C32" s="529"/>
      <c r="D32" s="527"/>
      <c r="E32" s="527"/>
      <c r="F32" s="596"/>
      <c r="G32" s="315"/>
      <c r="H32" s="316"/>
      <c r="I32" s="595"/>
      <c r="J32" s="527"/>
      <c r="K32" s="527"/>
      <c r="L32" s="527"/>
      <c r="M32" s="596"/>
      <c r="N32" s="317"/>
    </row>
    <row r="33" spans="2:14" ht="15.75" customHeight="1" x14ac:dyDescent="0.3">
      <c r="B33" s="70"/>
      <c r="C33" s="592" t="s">
        <v>695</v>
      </c>
      <c r="D33" s="483"/>
      <c r="E33" s="483"/>
      <c r="F33" s="483"/>
      <c r="G33" s="483"/>
      <c r="H33" s="483"/>
      <c r="I33" s="483"/>
      <c r="J33" s="483"/>
      <c r="K33" s="483"/>
      <c r="L33" s="483"/>
      <c r="M33" s="483"/>
      <c r="N33" s="71"/>
    </row>
    <row r="34" spans="2:14" ht="15.75" customHeight="1" x14ac:dyDescent="0.3">
      <c r="B34" s="70"/>
      <c r="C34" s="589"/>
      <c r="D34" s="418"/>
      <c r="E34" s="418"/>
      <c r="F34" s="418"/>
      <c r="G34" s="418"/>
      <c r="H34" s="418"/>
      <c r="I34" s="418"/>
      <c r="J34" s="418"/>
      <c r="K34" s="418"/>
      <c r="L34" s="418"/>
      <c r="M34" s="392"/>
      <c r="N34" s="71"/>
    </row>
    <row r="35" spans="2:14" ht="15.75" customHeight="1" x14ac:dyDescent="0.3">
      <c r="B35" s="70"/>
      <c r="C35" s="419"/>
      <c r="D35" s="399"/>
      <c r="E35" s="399"/>
      <c r="F35" s="399"/>
      <c r="G35" s="399"/>
      <c r="H35" s="399"/>
      <c r="I35" s="399"/>
      <c r="J35" s="399"/>
      <c r="K35" s="399"/>
      <c r="L35" s="399"/>
      <c r="M35" s="420"/>
      <c r="N35" s="71"/>
    </row>
    <row r="36" spans="2:14" ht="15.75" customHeight="1" x14ac:dyDescent="0.3">
      <c r="B36" s="91"/>
      <c r="C36" s="590"/>
      <c r="D36" s="469"/>
      <c r="E36" s="469"/>
      <c r="F36" s="469"/>
      <c r="G36" s="469"/>
      <c r="H36" s="469"/>
      <c r="I36" s="469"/>
      <c r="J36" s="469"/>
      <c r="K36" s="469"/>
      <c r="L36" s="469"/>
      <c r="M36" s="591"/>
      <c r="N36" s="93"/>
    </row>
    <row r="37" spans="2:14" ht="15.75" customHeight="1" x14ac:dyDescent="0.3"/>
    <row r="38" spans="2:14" ht="15.75" customHeight="1" x14ac:dyDescent="0.3"/>
    <row r="39" spans="2:14" ht="15.75" customHeight="1" x14ac:dyDescent="0.35">
      <c r="B39" s="66" t="s">
        <v>696</v>
      </c>
      <c r="C39" s="445" t="s">
        <v>697</v>
      </c>
      <c r="D39" s="446"/>
      <c r="E39" s="446"/>
      <c r="F39" s="446"/>
      <c r="G39" s="446"/>
      <c r="H39" s="446"/>
      <c r="I39" s="446"/>
      <c r="J39" s="446"/>
      <c r="K39" s="446"/>
      <c r="L39" s="446"/>
      <c r="M39" s="446"/>
      <c r="N39" s="537"/>
    </row>
    <row r="40" spans="2:14" ht="124.5" customHeight="1" x14ac:dyDescent="0.3">
      <c r="B40" s="70"/>
      <c r="C40" s="597"/>
      <c r="D40" s="382"/>
      <c r="E40" s="382"/>
      <c r="F40" s="382"/>
      <c r="G40" s="382"/>
      <c r="H40" s="382"/>
      <c r="I40" s="382"/>
      <c r="J40" s="382"/>
      <c r="K40" s="382"/>
      <c r="L40" s="382"/>
      <c r="M40" s="383"/>
      <c r="N40" s="71"/>
    </row>
    <row r="41" spans="2:14" ht="15.75" customHeight="1" x14ac:dyDescent="0.3">
      <c r="B41" s="91"/>
      <c r="C41" s="92"/>
      <c r="D41" s="92"/>
      <c r="E41" s="92"/>
      <c r="F41" s="92"/>
      <c r="G41" s="92"/>
      <c r="H41" s="92"/>
      <c r="I41" s="92"/>
      <c r="J41" s="92"/>
      <c r="K41" s="92"/>
      <c r="L41" s="92"/>
      <c r="M41" s="92"/>
      <c r="N41" s="93"/>
    </row>
    <row r="42" spans="2:14" ht="15.75" customHeight="1" x14ac:dyDescent="0.3"/>
    <row r="43" spans="2:14" ht="15.75" customHeight="1" x14ac:dyDescent="0.35">
      <c r="B43" s="66" t="s">
        <v>698</v>
      </c>
      <c r="C43" s="445" t="s">
        <v>699</v>
      </c>
      <c r="D43" s="446"/>
      <c r="E43" s="446"/>
      <c r="F43" s="446"/>
      <c r="G43" s="446"/>
      <c r="H43" s="446"/>
      <c r="I43" s="446"/>
      <c r="J43" s="446"/>
      <c r="K43" s="446"/>
      <c r="L43" s="446"/>
      <c r="M43" s="446"/>
      <c r="N43" s="537"/>
    </row>
    <row r="44" spans="2:14" ht="15.75" customHeight="1" x14ac:dyDescent="0.3">
      <c r="B44" s="70"/>
      <c r="N44" s="71"/>
    </row>
    <row r="45" spans="2:14" ht="23.25" customHeight="1" x14ac:dyDescent="0.3">
      <c r="B45" s="70"/>
      <c r="C45" s="318" t="s">
        <v>700</v>
      </c>
      <c r="D45" s="598"/>
      <c r="E45" s="382"/>
      <c r="F45" s="383"/>
      <c r="G45" s="255" t="s">
        <v>483</v>
      </c>
      <c r="H45" s="456" t="s">
        <v>701</v>
      </c>
      <c r="I45" s="399"/>
      <c r="J45" s="608"/>
      <c r="K45" s="383"/>
      <c r="L45" s="319" t="s">
        <v>702</v>
      </c>
      <c r="N45" s="71"/>
    </row>
    <row r="46" spans="2:14" ht="15.75" customHeight="1" x14ac:dyDescent="0.3">
      <c r="B46" s="70"/>
      <c r="N46" s="71"/>
    </row>
    <row r="47" spans="2:14" ht="21" customHeight="1" x14ac:dyDescent="0.3">
      <c r="B47" s="320"/>
      <c r="C47" s="318" t="s">
        <v>487</v>
      </c>
      <c r="D47" s="593"/>
      <c r="E47" s="382"/>
      <c r="F47" s="382"/>
      <c r="G47" s="383"/>
      <c r="I47" s="321" t="s">
        <v>583</v>
      </c>
      <c r="J47" s="321"/>
      <c r="K47" s="321"/>
      <c r="N47" s="71"/>
    </row>
    <row r="48" spans="2:14" ht="15.75" customHeight="1" x14ac:dyDescent="0.3">
      <c r="B48" s="70"/>
      <c r="I48" s="322"/>
      <c r="J48" s="322"/>
      <c r="K48" s="322"/>
      <c r="L48" s="322"/>
      <c r="M48" s="322"/>
      <c r="N48" s="71"/>
    </row>
    <row r="49" spans="2:14" ht="15.75" customHeight="1" x14ac:dyDescent="0.3">
      <c r="B49" s="70"/>
      <c r="D49" s="589"/>
      <c r="E49" s="418"/>
      <c r="F49" s="418"/>
      <c r="G49" s="418"/>
      <c r="H49" s="418"/>
      <c r="I49" s="418"/>
      <c r="J49" s="418"/>
      <c r="K49" s="418"/>
      <c r="L49" s="418"/>
      <c r="M49" s="392"/>
      <c r="N49" s="71"/>
    </row>
    <row r="50" spans="2:14" ht="15.75" customHeight="1" x14ac:dyDescent="0.3">
      <c r="B50" s="70"/>
      <c r="D50" s="419"/>
      <c r="E50" s="399"/>
      <c r="F50" s="399"/>
      <c r="G50" s="399"/>
      <c r="H50" s="399"/>
      <c r="I50" s="399"/>
      <c r="J50" s="399"/>
      <c r="K50" s="399"/>
      <c r="L50" s="399"/>
      <c r="M50" s="420"/>
      <c r="N50" s="71"/>
    </row>
    <row r="51" spans="2:14" ht="15.75" customHeight="1" x14ac:dyDescent="0.3">
      <c r="B51" s="70"/>
      <c r="C51" s="323" t="s">
        <v>703</v>
      </c>
      <c r="D51" s="419"/>
      <c r="E51" s="399"/>
      <c r="F51" s="399"/>
      <c r="G51" s="399"/>
      <c r="H51" s="399"/>
      <c r="I51" s="399"/>
      <c r="J51" s="399"/>
      <c r="K51" s="399"/>
      <c r="L51" s="399"/>
      <c r="M51" s="420"/>
      <c r="N51" s="71"/>
    </row>
    <row r="52" spans="2:14" ht="15.75" customHeight="1" x14ac:dyDescent="0.3">
      <c r="B52" s="70"/>
      <c r="D52" s="393"/>
      <c r="E52" s="421"/>
      <c r="F52" s="421"/>
      <c r="G52" s="421"/>
      <c r="H52" s="421"/>
      <c r="I52" s="421"/>
      <c r="J52" s="421"/>
      <c r="K52" s="421"/>
      <c r="L52" s="421"/>
      <c r="M52" s="394"/>
      <c r="N52" s="71"/>
    </row>
    <row r="53" spans="2:14" ht="15.75" customHeight="1" x14ac:dyDescent="0.3">
      <c r="B53" s="91"/>
      <c r="C53" s="92"/>
      <c r="D53" s="92"/>
      <c r="E53" s="92"/>
      <c r="F53" s="92"/>
      <c r="G53" s="92"/>
      <c r="H53" s="92"/>
      <c r="I53" s="92"/>
      <c r="J53" s="92"/>
      <c r="K53" s="92"/>
      <c r="L53" s="92"/>
      <c r="M53" s="92"/>
      <c r="N53" s="93"/>
    </row>
    <row r="54" spans="2:14" ht="15.75" customHeight="1" x14ac:dyDescent="0.3"/>
    <row r="55" spans="2:14" ht="15.75" customHeight="1" x14ac:dyDescent="0.3"/>
    <row r="56" spans="2:14" ht="15.75" customHeight="1" x14ac:dyDescent="0.3"/>
    <row r="57" spans="2:14" ht="15.75" customHeight="1" x14ac:dyDescent="0.3"/>
    <row r="58" spans="2:14" ht="15.75" customHeight="1" x14ac:dyDescent="0.3"/>
    <row r="59" spans="2:14" ht="15.75" customHeight="1" x14ac:dyDescent="0.3"/>
    <row r="60" spans="2:14" ht="15.75" customHeight="1" x14ac:dyDescent="0.3"/>
    <row r="61" spans="2:14" ht="15.75" customHeight="1" x14ac:dyDescent="0.3"/>
    <row r="62" spans="2:14" ht="15.75" customHeight="1" x14ac:dyDescent="0.3"/>
    <row r="63" spans="2:14" ht="15.75" customHeight="1" x14ac:dyDescent="0.3"/>
    <row r="64" spans="2:1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35">
    <mergeCell ref="B2:E2"/>
    <mergeCell ref="B4:D4"/>
    <mergeCell ref="F2:I2"/>
    <mergeCell ref="F4:G4"/>
    <mergeCell ref="I20:L20"/>
    <mergeCell ref="I18:L18"/>
    <mergeCell ref="I16:L16"/>
    <mergeCell ref="I14:L14"/>
    <mergeCell ref="I12:L12"/>
    <mergeCell ref="K4:L4"/>
    <mergeCell ref="J6:L6"/>
    <mergeCell ref="I29:K29"/>
    <mergeCell ref="L27:L28"/>
    <mergeCell ref="I27:K28"/>
    <mergeCell ref="D22:F22"/>
    <mergeCell ref="D12:F12"/>
    <mergeCell ref="D14:F14"/>
    <mergeCell ref="D16:F16"/>
    <mergeCell ref="D18:F18"/>
    <mergeCell ref="D24:F24"/>
    <mergeCell ref="D26:F26"/>
    <mergeCell ref="C27:F32"/>
    <mergeCell ref="I24:L24"/>
    <mergeCell ref="I22:L22"/>
    <mergeCell ref="C34:M36"/>
    <mergeCell ref="C33:M33"/>
    <mergeCell ref="D49:M52"/>
    <mergeCell ref="D47:G47"/>
    <mergeCell ref="I30:M32"/>
    <mergeCell ref="C39:N39"/>
    <mergeCell ref="C40:M40"/>
    <mergeCell ref="C43:N43"/>
    <mergeCell ref="D45:F45"/>
    <mergeCell ref="H45:I45"/>
    <mergeCell ref="J45:K45"/>
  </mergeCells>
  <conditionalFormatting sqref="I29:K29">
    <cfRule type="containsText" dxfId="11" priority="1" operator="containsText" text="Hors norme">
      <formula>NOT(ISERROR(SEARCH(("Hors norme"),(I29))))</formula>
    </cfRule>
    <cfRule type="containsText" dxfId="10" priority="2" operator="containsText" text="Norme respectée">
      <formula>NOT(ISERROR(SEARCH(("Norme respectée"),(I29))))</formula>
    </cfRule>
  </conditionalFormatting>
  <pageMargins left="0.70866141732283472" right="0.70866141732283472" top="0.74803149606299213" bottom="0.74803149606299213" header="0" footer="0"/>
  <pageSetup scale="75" orientation="portrait"/>
  <headerFooter>
    <oddFooter>&amp;LGrille d’analyse de crédit agricole développé par DID&amp;C_x000D_#000000 Usage Interne</oddFooter>
  </headerFooter>
  <drawing r:id="rId1"/>
  <legacyDrawing r:id="rId2"/>
  <extLst>
    <ext xmlns:x14="http://schemas.microsoft.com/office/spreadsheetml/2009/9/main" uri="{CCE6A557-97BC-4b89-ADB6-D9C93CAAB3DF}">
      <x14:dataValidations xmlns:xm="http://schemas.microsoft.com/office/excel/2006/main" count="2">
        <x14:dataValidation type="decimal" allowBlank="1" showInputMessage="1" showErrorMessage="1" prompt="DID - Attention ! _x000a_Le montant proposé doit être inférieur ou égal au montant de la demande. _x000a__x000a_Révisez votre proposition." xr:uid="{00000000-0002-0000-0B00-000000000000}">
          <x14:formula1>
            <xm:f>0</xm:f>
          </x14:formula1>
          <x14:formula2>
            <xm:f>'1. DEMANDE'!H50</xm:f>
          </x14:formula2>
          <xm:sqref>M12</xm:sqref>
        </x14:dataValidation>
        <x14:dataValidation type="decimal" operator="greaterThanOrEqual" allowBlank="1" showInputMessage="1" showErrorMessage="1" prompt="Rappel ! - Veuillez d'abord spécifier le nombre d'échéance... " xr:uid="{00000000-0002-0000-0B00-000001000000}">
          <x14:formula1>
            <xm:f>'.'!U13</xm:f>
          </x14:formula1>
          <xm:sqref>M22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2:N100"/>
  <sheetViews>
    <sheetView showGridLines="0" topLeftCell="A16" workbookViewId="0"/>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6.5546875" customWidth="1"/>
    <col min="6" max="6" width="9.88671875" customWidth="1"/>
    <col min="7" max="7" width="10.109375" customWidth="1"/>
    <col min="8" max="8" width="14.44140625" customWidth="1"/>
    <col min="9" max="9" width="19" customWidth="1"/>
    <col min="10" max="10" width="17.88671875" customWidth="1"/>
    <col min="11" max="11" width="24" customWidth="1"/>
    <col min="12" max="14" width="10.88671875" customWidth="1"/>
  </cols>
  <sheetData>
    <row r="2" spans="1:14" ht="17.399999999999999" x14ac:dyDescent="0.35">
      <c r="B2" s="432" t="s">
        <v>535</v>
      </c>
      <c r="C2" s="399"/>
      <c r="D2" s="399"/>
      <c r="E2" s="399"/>
      <c r="F2" s="487" t="str">
        <f>'8. PROPOSITION'!F2</f>
        <v>MARIAMA KABA</v>
      </c>
      <c r="G2" s="382"/>
      <c r="H2" s="382"/>
      <c r="I2" s="383"/>
      <c r="J2" s="60" t="s">
        <v>429</v>
      </c>
      <c r="K2" s="204" t="str">
        <f>'4. BUDGET FAMILIAL'!L3</f>
        <v>FORECARIAH</v>
      </c>
    </row>
    <row r="3" spans="1:14" ht="17.399999999999999" x14ac:dyDescent="0.35">
      <c r="B3" s="73"/>
      <c r="C3" s="73"/>
      <c r="D3" s="73"/>
      <c r="E3" s="73"/>
      <c r="F3" s="73"/>
      <c r="G3" s="73"/>
      <c r="H3" s="73"/>
      <c r="I3" s="73"/>
      <c r="J3" s="73"/>
      <c r="K3" s="73"/>
    </row>
    <row r="4" spans="1:14" ht="17.399999999999999" x14ac:dyDescent="0.35">
      <c r="B4" s="432" t="s">
        <v>536</v>
      </c>
      <c r="C4" s="399"/>
      <c r="D4" s="399"/>
      <c r="E4" s="399"/>
      <c r="F4" s="487">
        <f>'5. RESULTAT'!G5</f>
        <v>10300181501</v>
      </c>
      <c r="G4" s="383"/>
      <c r="H4" s="431" t="s">
        <v>433</v>
      </c>
      <c r="I4" s="399"/>
      <c r="J4" s="487" t="str">
        <f>'1. DEMANDE'!AD7</f>
        <v>MOHAMED MMAH CAMARA</v>
      </c>
      <c r="K4" s="383"/>
    </row>
    <row r="5" spans="1:14" ht="14.4" x14ac:dyDescent="0.3">
      <c r="K5" s="112"/>
    </row>
    <row r="6" spans="1:14" ht="17.399999999999999" x14ac:dyDescent="0.35">
      <c r="I6" s="60" t="s">
        <v>515</v>
      </c>
      <c r="J6" s="324">
        <f>'4. BUDGET FAMILIAL'!K7</f>
        <v>46093</v>
      </c>
    </row>
    <row r="7" spans="1:14" ht="12" customHeight="1" x14ac:dyDescent="0.3">
      <c r="I7" s="60"/>
    </row>
    <row r="8" spans="1:14" ht="18" x14ac:dyDescent="0.35">
      <c r="B8" s="325" t="s">
        <v>704</v>
      </c>
      <c r="C8" s="611" t="s">
        <v>705</v>
      </c>
      <c r="D8" s="382"/>
      <c r="E8" s="382"/>
      <c r="F8" s="382"/>
      <c r="G8" s="382"/>
      <c r="H8" s="383"/>
      <c r="I8" s="616"/>
      <c r="J8" s="383"/>
      <c r="K8" s="155"/>
    </row>
    <row r="10" spans="1:14" ht="18" customHeight="1" x14ac:dyDescent="0.3">
      <c r="B10" s="617" t="s">
        <v>706</v>
      </c>
      <c r="C10" s="407"/>
      <c r="D10" s="407"/>
      <c r="E10" s="407"/>
      <c r="F10" s="408"/>
      <c r="G10" s="326" t="s">
        <v>707</v>
      </c>
      <c r="H10" s="326" t="s">
        <v>708</v>
      </c>
      <c r="I10" s="326" t="s">
        <v>709</v>
      </c>
      <c r="J10" s="326" t="s">
        <v>710</v>
      </c>
      <c r="K10" s="326" t="s">
        <v>583</v>
      </c>
    </row>
    <row r="11" spans="1:14" ht="18" customHeight="1" x14ac:dyDescent="0.3">
      <c r="B11" s="546" t="s">
        <v>711</v>
      </c>
      <c r="C11" s="407"/>
      <c r="D11" s="407"/>
      <c r="E11" s="407"/>
      <c r="F11" s="407"/>
      <c r="G11" s="407"/>
      <c r="H11" s="407"/>
      <c r="I11" s="407"/>
      <c r="J11" s="407"/>
      <c r="K11" s="408"/>
    </row>
    <row r="12" spans="1:14" ht="36" customHeight="1" x14ac:dyDescent="0.3">
      <c r="A12" s="96"/>
      <c r="B12" s="612"/>
      <c r="C12" s="615" t="s">
        <v>712</v>
      </c>
      <c r="D12" s="407"/>
      <c r="E12" s="407"/>
      <c r="F12" s="408"/>
      <c r="G12" s="327"/>
      <c r="H12" s="328"/>
      <c r="I12" s="237"/>
      <c r="J12" s="329">
        <f t="shared" ref="J12:J21" si="0">I12*H12</f>
        <v>0</v>
      </c>
      <c r="K12" s="330"/>
      <c r="L12" s="96"/>
      <c r="M12" s="96"/>
      <c r="N12" s="96"/>
    </row>
    <row r="13" spans="1:14" ht="33.75" customHeight="1" x14ac:dyDescent="0.3">
      <c r="A13" s="96"/>
      <c r="B13" s="563"/>
      <c r="C13" s="615" t="s">
        <v>712</v>
      </c>
      <c r="D13" s="407"/>
      <c r="E13" s="407"/>
      <c r="F13" s="408"/>
      <c r="G13" s="327"/>
      <c r="H13" s="328"/>
      <c r="I13" s="237"/>
      <c r="J13" s="329">
        <f t="shared" si="0"/>
        <v>0</v>
      </c>
      <c r="K13" s="330"/>
      <c r="L13" s="96"/>
      <c r="M13" s="96"/>
      <c r="N13" s="96"/>
    </row>
    <row r="14" spans="1:14" ht="30" customHeight="1" x14ac:dyDescent="0.3">
      <c r="A14" s="96"/>
      <c r="B14" s="563"/>
      <c r="C14" s="615" t="s">
        <v>713</v>
      </c>
      <c r="D14" s="407"/>
      <c r="E14" s="407"/>
      <c r="F14" s="408"/>
      <c r="G14" s="327"/>
      <c r="H14" s="328"/>
      <c r="I14" s="237"/>
      <c r="J14" s="329">
        <f t="shared" si="0"/>
        <v>0</v>
      </c>
      <c r="K14" s="330"/>
      <c r="L14" s="96"/>
      <c r="M14" s="96"/>
      <c r="N14" s="96"/>
    </row>
    <row r="15" spans="1:14" ht="33" customHeight="1" x14ac:dyDescent="0.3">
      <c r="A15" s="96"/>
      <c r="B15" s="563"/>
      <c r="C15" s="615" t="s">
        <v>714</v>
      </c>
      <c r="D15" s="407"/>
      <c r="E15" s="407"/>
      <c r="F15" s="408"/>
      <c r="G15" s="327"/>
      <c r="H15" s="328"/>
      <c r="I15" s="237"/>
      <c r="J15" s="329">
        <f t="shared" si="0"/>
        <v>0</v>
      </c>
      <c r="K15" s="330"/>
      <c r="L15" s="96"/>
      <c r="M15" s="96"/>
      <c r="N15" s="96"/>
    </row>
    <row r="16" spans="1:14" ht="33" customHeight="1" x14ac:dyDescent="0.3">
      <c r="A16" s="96"/>
      <c r="B16" s="563"/>
      <c r="C16" s="615" t="s">
        <v>715</v>
      </c>
      <c r="D16" s="407"/>
      <c r="E16" s="407"/>
      <c r="F16" s="408"/>
      <c r="G16" s="327"/>
      <c r="H16" s="328"/>
      <c r="I16" s="237"/>
      <c r="J16" s="329">
        <f t="shared" si="0"/>
        <v>0</v>
      </c>
      <c r="K16" s="330"/>
      <c r="L16" s="96"/>
      <c r="M16" s="96"/>
      <c r="N16" s="96"/>
    </row>
    <row r="17" spans="1:14" ht="30.75" customHeight="1" x14ac:dyDescent="0.3">
      <c r="A17" s="96"/>
      <c r="B17" s="563"/>
      <c r="C17" s="615" t="s">
        <v>716</v>
      </c>
      <c r="D17" s="407"/>
      <c r="E17" s="407"/>
      <c r="F17" s="408"/>
      <c r="G17" s="327"/>
      <c r="H17" s="328"/>
      <c r="I17" s="237"/>
      <c r="J17" s="329">
        <f t="shared" si="0"/>
        <v>0</v>
      </c>
      <c r="K17" s="330"/>
      <c r="L17" s="96"/>
      <c r="M17" s="96"/>
      <c r="N17" s="96"/>
    </row>
    <row r="18" spans="1:14" ht="31.5" customHeight="1" x14ac:dyDescent="0.3">
      <c r="A18" s="96"/>
      <c r="B18" s="563"/>
      <c r="C18" s="615" t="s">
        <v>717</v>
      </c>
      <c r="D18" s="407"/>
      <c r="E18" s="407"/>
      <c r="F18" s="408"/>
      <c r="G18" s="327"/>
      <c r="H18" s="328"/>
      <c r="I18" s="237"/>
      <c r="J18" s="329">
        <f t="shared" si="0"/>
        <v>0</v>
      </c>
      <c r="K18" s="330"/>
      <c r="L18" s="96"/>
      <c r="M18" s="96"/>
      <c r="N18" s="96"/>
    </row>
    <row r="19" spans="1:14" ht="37.5" customHeight="1" x14ac:dyDescent="0.3">
      <c r="A19" s="96"/>
      <c r="B19" s="563"/>
      <c r="C19" s="615" t="s">
        <v>718</v>
      </c>
      <c r="D19" s="407"/>
      <c r="E19" s="407"/>
      <c r="F19" s="408"/>
      <c r="G19" s="327"/>
      <c r="H19" s="328"/>
      <c r="I19" s="237"/>
      <c r="J19" s="329">
        <f t="shared" si="0"/>
        <v>0</v>
      </c>
      <c r="K19" s="330"/>
      <c r="L19" s="96"/>
      <c r="M19" s="96"/>
      <c r="N19" s="96"/>
    </row>
    <row r="20" spans="1:14" ht="33" customHeight="1" x14ac:dyDescent="0.3">
      <c r="A20" s="96"/>
      <c r="B20" s="563"/>
      <c r="C20" s="615" t="s">
        <v>719</v>
      </c>
      <c r="D20" s="407"/>
      <c r="E20" s="407"/>
      <c r="F20" s="408"/>
      <c r="G20" s="327"/>
      <c r="H20" s="328"/>
      <c r="I20" s="237"/>
      <c r="J20" s="329">
        <f t="shared" si="0"/>
        <v>0</v>
      </c>
      <c r="K20" s="330"/>
      <c r="L20" s="96"/>
      <c r="M20" s="96"/>
      <c r="N20" s="96"/>
    </row>
    <row r="21" spans="1:14" ht="29.25" customHeight="1" x14ac:dyDescent="0.3">
      <c r="A21" s="96"/>
      <c r="B21" s="563"/>
      <c r="C21" s="615" t="s">
        <v>720</v>
      </c>
      <c r="D21" s="407"/>
      <c r="E21" s="407"/>
      <c r="F21" s="408"/>
      <c r="G21" s="327"/>
      <c r="H21" s="328"/>
      <c r="I21" s="237"/>
      <c r="J21" s="329">
        <f t="shared" si="0"/>
        <v>0</v>
      </c>
      <c r="K21" s="330"/>
      <c r="L21" s="96"/>
      <c r="M21" s="96"/>
      <c r="N21" s="96"/>
    </row>
    <row r="22" spans="1:14" ht="15.75" customHeight="1" x14ac:dyDescent="0.3">
      <c r="A22" s="96"/>
      <c r="B22" s="546" t="s">
        <v>721</v>
      </c>
      <c r="C22" s="407"/>
      <c r="D22" s="407"/>
      <c r="E22" s="407"/>
      <c r="F22" s="407"/>
      <c r="G22" s="407"/>
      <c r="H22" s="407"/>
      <c r="I22" s="407"/>
      <c r="J22" s="407"/>
      <c r="K22" s="408"/>
      <c r="L22" s="96"/>
      <c r="M22" s="96"/>
      <c r="N22" s="96"/>
    </row>
    <row r="23" spans="1:14" ht="33" customHeight="1" x14ac:dyDescent="0.3">
      <c r="A23" s="96"/>
      <c r="B23" s="612"/>
      <c r="C23" s="615" t="s">
        <v>722</v>
      </c>
      <c r="D23" s="407"/>
      <c r="E23" s="407"/>
      <c r="F23" s="408"/>
      <c r="G23" s="327"/>
      <c r="H23" s="328"/>
      <c r="I23" s="237"/>
      <c r="J23" s="329">
        <f t="shared" ref="J23:J28" si="1">I23*H23</f>
        <v>0</v>
      </c>
      <c r="K23" s="330"/>
      <c r="L23" s="96"/>
      <c r="M23" s="96"/>
      <c r="N23" s="96"/>
    </row>
    <row r="24" spans="1:14" ht="30" customHeight="1" x14ac:dyDescent="0.3">
      <c r="A24" s="96"/>
      <c r="B24" s="563"/>
      <c r="C24" s="615" t="s">
        <v>723</v>
      </c>
      <c r="D24" s="407"/>
      <c r="E24" s="407"/>
      <c r="F24" s="408"/>
      <c r="G24" s="327"/>
      <c r="H24" s="328"/>
      <c r="I24" s="237"/>
      <c r="J24" s="329">
        <f t="shared" si="1"/>
        <v>0</v>
      </c>
      <c r="K24" s="331"/>
      <c r="L24" s="96"/>
      <c r="M24" s="96"/>
      <c r="N24" s="96"/>
    </row>
    <row r="25" spans="1:14" ht="31.5" customHeight="1" x14ac:dyDescent="0.3">
      <c r="A25" s="96"/>
      <c r="B25" s="563"/>
      <c r="C25" s="615" t="s">
        <v>724</v>
      </c>
      <c r="D25" s="407"/>
      <c r="E25" s="407"/>
      <c r="F25" s="408"/>
      <c r="G25" s="327"/>
      <c r="H25" s="328"/>
      <c r="I25" s="237"/>
      <c r="J25" s="329">
        <f t="shared" si="1"/>
        <v>0</v>
      </c>
      <c r="K25" s="331"/>
      <c r="L25" s="96"/>
      <c r="M25" s="96"/>
      <c r="N25" s="96"/>
    </row>
    <row r="26" spans="1:14" ht="30" customHeight="1" x14ac:dyDescent="0.3">
      <c r="A26" s="96"/>
      <c r="B26" s="563"/>
      <c r="C26" s="615" t="s">
        <v>724</v>
      </c>
      <c r="D26" s="407"/>
      <c r="E26" s="407"/>
      <c r="F26" s="408"/>
      <c r="G26" s="327"/>
      <c r="H26" s="328"/>
      <c r="I26" s="237"/>
      <c r="J26" s="329">
        <f t="shared" si="1"/>
        <v>0</v>
      </c>
      <c r="K26" s="331"/>
      <c r="L26" s="96"/>
      <c r="M26" s="96"/>
      <c r="N26" s="96"/>
    </row>
    <row r="27" spans="1:14" ht="30" customHeight="1" x14ac:dyDescent="0.3">
      <c r="B27" s="563"/>
      <c r="C27" s="615" t="s">
        <v>724</v>
      </c>
      <c r="D27" s="407"/>
      <c r="E27" s="407"/>
      <c r="F27" s="408"/>
      <c r="G27" s="332"/>
      <c r="H27" s="328"/>
      <c r="I27" s="237"/>
      <c r="J27" s="329">
        <f t="shared" si="1"/>
        <v>0</v>
      </c>
      <c r="K27" s="331"/>
    </row>
    <row r="28" spans="1:14" ht="32.25" customHeight="1" x14ac:dyDescent="0.3">
      <c r="B28" s="533"/>
      <c r="C28" s="615" t="s">
        <v>724</v>
      </c>
      <c r="D28" s="407"/>
      <c r="E28" s="407"/>
      <c r="F28" s="408"/>
      <c r="G28" s="327"/>
      <c r="H28" s="328"/>
      <c r="I28" s="237"/>
      <c r="J28" s="329">
        <f t="shared" si="1"/>
        <v>0</v>
      </c>
      <c r="K28" s="331"/>
    </row>
    <row r="29" spans="1:14" ht="18" customHeight="1" x14ac:dyDescent="0.3">
      <c r="B29" s="614" t="s">
        <v>725</v>
      </c>
      <c r="C29" s="407"/>
      <c r="D29" s="407"/>
      <c r="E29" s="407"/>
      <c r="F29" s="408"/>
      <c r="G29" s="333"/>
      <c r="H29" s="333"/>
      <c r="I29" s="334"/>
      <c r="J29" s="335">
        <f>J12+J13+J14+J15+J16+J17+J18+J19+J20+J21+J23+J24+J25+J26+J27+J28</f>
        <v>0</v>
      </c>
      <c r="K29" s="336"/>
    </row>
    <row r="30" spans="1:14" ht="15.75" customHeight="1" x14ac:dyDescent="0.3">
      <c r="B30" s="96"/>
      <c r="C30" s="96"/>
      <c r="D30" s="96"/>
      <c r="E30" s="96"/>
      <c r="F30" s="96"/>
      <c r="G30" s="96"/>
      <c r="H30" s="96"/>
      <c r="I30" s="96"/>
      <c r="J30" s="96"/>
      <c r="K30" s="96"/>
    </row>
    <row r="31" spans="1:14" ht="15.75" customHeight="1" x14ac:dyDescent="0.3">
      <c r="B31" s="546" t="s">
        <v>726</v>
      </c>
      <c r="C31" s="407"/>
      <c r="D31" s="407"/>
      <c r="E31" s="407"/>
      <c r="F31" s="407"/>
      <c r="G31" s="407"/>
      <c r="H31" s="407"/>
      <c r="I31" s="407"/>
      <c r="J31" s="407"/>
      <c r="K31" s="408"/>
    </row>
    <row r="32" spans="1:14" ht="15.75" customHeight="1" x14ac:dyDescent="0.3">
      <c r="B32" s="612"/>
      <c r="C32" s="613" t="s">
        <v>727</v>
      </c>
      <c r="D32" s="407"/>
      <c r="E32" s="407"/>
      <c r="F32" s="408"/>
      <c r="G32" s="337"/>
      <c r="H32" s="328"/>
      <c r="I32" s="237"/>
      <c r="J32" s="329">
        <f t="shared" ref="J32:J36" si="2">I32*H32</f>
        <v>0</v>
      </c>
      <c r="K32" s="331"/>
    </row>
    <row r="33" spans="2:11" ht="15.75" customHeight="1" x14ac:dyDescent="0.3">
      <c r="B33" s="563"/>
      <c r="C33" s="613" t="s">
        <v>728</v>
      </c>
      <c r="D33" s="407"/>
      <c r="E33" s="407"/>
      <c r="F33" s="408"/>
      <c r="G33" s="337"/>
      <c r="H33" s="328"/>
      <c r="I33" s="237"/>
      <c r="J33" s="329">
        <f t="shared" si="2"/>
        <v>0</v>
      </c>
      <c r="K33" s="331"/>
    </row>
    <row r="34" spans="2:11" ht="15.75" customHeight="1" x14ac:dyDescent="0.3">
      <c r="B34" s="563"/>
      <c r="C34" s="613" t="s">
        <v>729</v>
      </c>
      <c r="D34" s="407"/>
      <c r="E34" s="407"/>
      <c r="F34" s="408"/>
      <c r="G34" s="337"/>
      <c r="H34" s="328"/>
      <c r="I34" s="237"/>
      <c r="J34" s="329">
        <f t="shared" si="2"/>
        <v>0</v>
      </c>
      <c r="K34" s="331"/>
    </row>
    <row r="35" spans="2:11" ht="15.75" customHeight="1" x14ac:dyDescent="0.3">
      <c r="B35" s="563"/>
      <c r="C35" s="613" t="s">
        <v>730</v>
      </c>
      <c r="D35" s="407"/>
      <c r="E35" s="407"/>
      <c r="F35" s="408"/>
      <c r="G35" s="337"/>
      <c r="H35" s="328"/>
      <c r="I35" s="237"/>
      <c r="J35" s="329">
        <f t="shared" si="2"/>
        <v>0</v>
      </c>
      <c r="K35" s="331"/>
    </row>
    <row r="36" spans="2:11" ht="15.75" customHeight="1" x14ac:dyDescent="0.3">
      <c r="B36" s="533"/>
      <c r="C36" s="613" t="s">
        <v>731</v>
      </c>
      <c r="D36" s="407"/>
      <c r="E36" s="407"/>
      <c r="F36" s="408"/>
      <c r="G36" s="337"/>
      <c r="H36" s="328"/>
      <c r="I36" s="237"/>
      <c r="J36" s="329">
        <f t="shared" si="2"/>
        <v>0</v>
      </c>
      <c r="K36" s="331"/>
    </row>
    <row r="37" spans="2:11" ht="15.75" customHeight="1" x14ac:dyDescent="0.3">
      <c r="B37" s="614" t="s">
        <v>259</v>
      </c>
      <c r="C37" s="407"/>
      <c r="D37" s="407"/>
      <c r="E37" s="407"/>
      <c r="F37" s="408"/>
      <c r="G37" s="333"/>
      <c r="H37" s="333"/>
      <c r="I37" s="334"/>
      <c r="J37" s="335">
        <f>J32+J33+J34+J35+J36</f>
        <v>0</v>
      </c>
      <c r="K37" s="338"/>
    </row>
    <row r="38" spans="2:11" ht="15.75" customHeight="1" x14ac:dyDescent="0.3">
      <c r="B38" s="96"/>
      <c r="C38" s="96"/>
      <c r="D38" s="96"/>
      <c r="E38" s="96"/>
      <c r="F38" s="96"/>
      <c r="G38" s="96"/>
      <c r="H38" s="96"/>
      <c r="I38" s="96"/>
      <c r="J38" s="96"/>
      <c r="K38" s="96"/>
    </row>
    <row r="39" spans="2:11" ht="15.75" customHeight="1" x14ac:dyDescent="0.3">
      <c r="B39" s="609" t="s">
        <v>732</v>
      </c>
      <c r="C39" s="479"/>
      <c r="D39" s="479"/>
      <c r="E39" s="479"/>
      <c r="F39" s="479"/>
      <c r="G39" s="479"/>
      <c r="H39" s="479"/>
      <c r="I39" s="610"/>
      <c r="J39" s="339">
        <f>J37-J29</f>
        <v>0</v>
      </c>
      <c r="K39" s="340" t="str">
        <f>IF(J39&lt;0,"NÉGATIF",IF(J39&gt;0,"POSITIF","NUL"))</f>
        <v>NUL</v>
      </c>
    </row>
    <row r="40" spans="2:11" ht="15.75" customHeight="1" x14ac:dyDescent="0.3"/>
    <row r="41" spans="2:11" ht="15.75" customHeight="1" x14ac:dyDescent="0.3"/>
    <row r="42" spans="2:11" ht="15.75" customHeight="1" x14ac:dyDescent="0.3"/>
    <row r="43" spans="2:11" ht="15.75" customHeight="1" x14ac:dyDescent="0.3"/>
    <row r="44" spans="2:11" ht="15.75" customHeight="1" x14ac:dyDescent="0.3"/>
    <row r="45" spans="2:11" ht="15.75" customHeight="1" x14ac:dyDescent="0.3"/>
    <row r="46" spans="2:11" ht="15.75" customHeight="1" x14ac:dyDescent="0.3"/>
    <row r="47" spans="2:11" ht="15.75" customHeight="1" x14ac:dyDescent="0.3"/>
    <row r="48" spans="2: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39">
    <mergeCell ref="B2:E2"/>
    <mergeCell ref="F2:I2"/>
    <mergeCell ref="B4:E4"/>
    <mergeCell ref="H4:I4"/>
    <mergeCell ref="C13:F13"/>
    <mergeCell ref="B10:F10"/>
    <mergeCell ref="B23:B28"/>
    <mergeCell ref="C28:F28"/>
    <mergeCell ref="I8:J8"/>
    <mergeCell ref="F4:G4"/>
    <mergeCell ref="J4:K4"/>
    <mergeCell ref="C14:F14"/>
    <mergeCell ref="C15:F15"/>
    <mergeCell ref="C16:F16"/>
    <mergeCell ref="C17:F17"/>
    <mergeCell ref="C27:F27"/>
    <mergeCell ref="C35:F35"/>
    <mergeCell ref="C23:F23"/>
    <mergeCell ref="C24:F24"/>
    <mergeCell ref="C25:F25"/>
    <mergeCell ref="C32:F32"/>
    <mergeCell ref="C33:F33"/>
    <mergeCell ref="C34:F34"/>
    <mergeCell ref="B39:I39"/>
    <mergeCell ref="C8:H8"/>
    <mergeCell ref="B32:B36"/>
    <mergeCell ref="C36:F36"/>
    <mergeCell ref="B37:F37"/>
    <mergeCell ref="B31:K31"/>
    <mergeCell ref="B29:F29"/>
    <mergeCell ref="C18:F18"/>
    <mergeCell ref="B11:K11"/>
    <mergeCell ref="B22:K22"/>
    <mergeCell ref="B12:B21"/>
    <mergeCell ref="C19:F19"/>
    <mergeCell ref="C21:F21"/>
    <mergeCell ref="C20:F20"/>
    <mergeCell ref="C12:F12"/>
    <mergeCell ref="C26:F26"/>
  </mergeCells>
  <conditionalFormatting sqref="K39">
    <cfRule type="containsText" dxfId="9" priority="1" operator="containsText" text="POSITIF">
      <formula>NOT(ISERROR(SEARCH(("POSITIF"),(K39))))</formula>
    </cfRule>
    <cfRule type="containsText" dxfId="8" priority="2" operator="containsText" text="NÉGATIF">
      <formula>NOT(ISERROR(SEARCH(("NÉGATIF"),(K39))))</formula>
    </cfRule>
  </conditionalFormatting>
  <pageMargins left="0.70866141732283472" right="0.31496062992125984" top="0.74803149606299213" bottom="0.74803149606299213" header="0" footer="0"/>
  <pageSetup scale="70" orientation="portrait"/>
  <headerFooter>
    <oddFooter>&amp;LGrille d’analyse de crédit agricole développé par DID&amp;C_x000D_#000000 Usage Interne</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2:N100"/>
  <sheetViews>
    <sheetView showGridLines="0" workbookViewId="0"/>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6.5546875" customWidth="1"/>
    <col min="6" max="6" width="9.88671875" customWidth="1"/>
    <col min="7" max="7" width="10.109375" customWidth="1"/>
    <col min="8" max="8" width="14.44140625" customWidth="1"/>
    <col min="9" max="9" width="19" customWidth="1"/>
    <col min="10" max="10" width="17.88671875" customWidth="1"/>
    <col min="11" max="11" width="24" customWidth="1"/>
    <col min="12" max="14" width="10.88671875" customWidth="1"/>
  </cols>
  <sheetData>
    <row r="2" spans="1:14" ht="17.399999999999999" x14ac:dyDescent="0.35">
      <c r="B2" s="432" t="s">
        <v>535</v>
      </c>
      <c r="C2" s="399"/>
      <c r="D2" s="399"/>
      <c r="E2" s="399"/>
      <c r="F2" s="487" t="str">
        <f>TRFM1!F2</f>
        <v>MARIAMA KABA</v>
      </c>
      <c r="G2" s="382"/>
      <c r="H2" s="382"/>
      <c r="I2" s="383"/>
      <c r="J2" s="60" t="s">
        <v>429</v>
      </c>
      <c r="K2" s="204" t="str">
        <f>TRFM1!K2</f>
        <v>FORECARIAH</v>
      </c>
    </row>
    <row r="3" spans="1:14" ht="17.399999999999999" x14ac:dyDescent="0.35">
      <c r="B3" s="73"/>
      <c r="C3" s="73"/>
      <c r="D3" s="73"/>
      <c r="E3" s="73"/>
      <c r="F3" s="73"/>
      <c r="G3" s="73"/>
      <c r="H3" s="73"/>
      <c r="I3" s="73"/>
      <c r="J3" s="73"/>
      <c r="K3" s="73"/>
    </row>
    <row r="4" spans="1:14" ht="17.399999999999999" x14ac:dyDescent="0.35">
      <c r="B4" s="432" t="s">
        <v>536</v>
      </c>
      <c r="C4" s="399"/>
      <c r="D4" s="399"/>
      <c r="E4" s="399"/>
      <c r="F4" s="487">
        <f>TRFM1!F4</f>
        <v>10300181501</v>
      </c>
      <c r="G4" s="383"/>
      <c r="H4" s="431" t="s">
        <v>433</v>
      </c>
      <c r="I4" s="399"/>
      <c r="J4" s="487" t="str">
        <f>'1. DEMANDE'!AD7</f>
        <v>MOHAMED MMAH CAMARA</v>
      </c>
      <c r="K4" s="383"/>
    </row>
    <row r="5" spans="1:14" ht="14.4" x14ac:dyDescent="0.3">
      <c r="K5" s="112"/>
    </row>
    <row r="6" spans="1:14" ht="17.399999999999999" x14ac:dyDescent="0.3">
      <c r="I6" s="60" t="s">
        <v>515</v>
      </c>
      <c r="J6" s="341">
        <f>TRFM1!J6</f>
        <v>46093</v>
      </c>
    </row>
    <row r="7" spans="1:14" ht="12" customHeight="1" x14ac:dyDescent="0.3">
      <c r="I7" s="60"/>
    </row>
    <row r="8" spans="1:14" ht="18" x14ac:dyDescent="0.35">
      <c r="B8" s="325" t="s">
        <v>733</v>
      </c>
      <c r="C8" s="611" t="s">
        <v>734</v>
      </c>
      <c r="D8" s="382"/>
      <c r="E8" s="382"/>
      <c r="F8" s="382"/>
      <c r="G8" s="382"/>
      <c r="H8" s="383"/>
      <c r="I8" s="616"/>
      <c r="J8" s="383"/>
      <c r="K8" s="155"/>
    </row>
    <row r="10" spans="1:14" ht="18" customHeight="1" x14ac:dyDescent="0.3">
      <c r="B10" s="617" t="s">
        <v>706</v>
      </c>
      <c r="C10" s="407"/>
      <c r="D10" s="407"/>
      <c r="E10" s="407"/>
      <c r="F10" s="408"/>
      <c r="G10" s="326" t="s">
        <v>707</v>
      </c>
      <c r="H10" s="326" t="s">
        <v>708</v>
      </c>
      <c r="I10" s="326" t="s">
        <v>709</v>
      </c>
      <c r="J10" s="326" t="s">
        <v>710</v>
      </c>
      <c r="K10" s="326" t="s">
        <v>583</v>
      </c>
    </row>
    <row r="11" spans="1:14" ht="18" customHeight="1" x14ac:dyDescent="0.3">
      <c r="B11" s="546" t="s">
        <v>711</v>
      </c>
      <c r="C11" s="407"/>
      <c r="D11" s="407"/>
      <c r="E11" s="407"/>
      <c r="F11" s="407"/>
      <c r="G11" s="407"/>
      <c r="H11" s="407"/>
      <c r="I11" s="407"/>
      <c r="J11" s="407"/>
      <c r="K11" s="408"/>
    </row>
    <row r="12" spans="1:14" ht="36" customHeight="1" x14ac:dyDescent="0.3">
      <c r="A12" s="96"/>
      <c r="B12" s="612"/>
      <c r="C12" s="615" t="s">
        <v>712</v>
      </c>
      <c r="D12" s="407"/>
      <c r="E12" s="407"/>
      <c r="F12" s="408"/>
      <c r="G12" s="327"/>
      <c r="H12" s="328"/>
      <c r="I12" s="237"/>
      <c r="J12" s="329">
        <f t="shared" ref="J12:J21" si="0">I12*H12</f>
        <v>0</v>
      </c>
      <c r="K12" s="330"/>
      <c r="L12" s="96"/>
      <c r="M12" s="96"/>
      <c r="N12" s="96"/>
    </row>
    <row r="13" spans="1:14" ht="33.75" customHeight="1" x14ac:dyDescent="0.3">
      <c r="A13" s="96"/>
      <c r="B13" s="563"/>
      <c r="C13" s="615" t="s">
        <v>712</v>
      </c>
      <c r="D13" s="407"/>
      <c r="E13" s="407"/>
      <c r="F13" s="408"/>
      <c r="G13" s="327"/>
      <c r="H13" s="328"/>
      <c r="I13" s="237"/>
      <c r="J13" s="329">
        <f t="shared" si="0"/>
        <v>0</v>
      </c>
      <c r="K13" s="330"/>
      <c r="L13" s="96"/>
      <c r="M13" s="96"/>
      <c r="N13" s="96"/>
    </row>
    <row r="14" spans="1:14" ht="30" customHeight="1" x14ac:dyDescent="0.3">
      <c r="A14" s="96"/>
      <c r="B14" s="563"/>
      <c r="C14" s="615" t="s">
        <v>713</v>
      </c>
      <c r="D14" s="407"/>
      <c r="E14" s="407"/>
      <c r="F14" s="408"/>
      <c r="G14" s="327"/>
      <c r="H14" s="328"/>
      <c r="I14" s="237"/>
      <c r="J14" s="329">
        <f t="shared" si="0"/>
        <v>0</v>
      </c>
      <c r="K14" s="330"/>
      <c r="L14" s="96"/>
      <c r="M14" s="96"/>
      <c r="N14" s="96"/>
    </row>
    <row r="15" spans="1:14" ht="33" customHeight="1" x14ac:dyDescent="0.3">
      <c r="A15" s="96"/>
      <c r="B15" s="563"/>
      <c r="C15" s="615" t="s">
        <v>714</v>
      </c>
      <c r="D15" s="407"/>
      <c r="E15" s="407"/>
      <c r="F15" s="408"/>
      <c r="G15" s="327"/>
      <c r="H15" s="328"/>
      <c r="I15" s="237"/>
      <c r="J15" s="329">
        <f t="shared" si="0"/>
        <v>0</v>
      </c>
      <c r="K15" s="330"/>
      <c r="L15" s="96"/>
      <c r="M15" s="96"/>
      <c r="N15" s="96"/>
    </row>
    <row r="16" spans="1:14" ht="33" customHeight="1" x14ac:dyDescent="0.3">
      <c r="A16" s="96"/>
      <c r="B16" s="563"/>
      <c r="C16" s="615" t="s">
        <v>715</v>
      </c>
      <c r="D16" s="407"/>
      <c r="E16" s="407"/>
      <c r="F16" s="408"/>
      <c r="G16" s="327"/>
      <c r="H16" s="328"/>
      <c r="I16" s="237"/>
      <c r="J16" s="329">
        <f t="shared" si="0"/>
        <v>0</v>
      </c>
      <c r="K16" s="330"/>
      <c r="L16" s="96"/>
      <c r="M16" s="96"/>
      <c r="N16" s="96"/>
    </row>
    <row r="17" spans="1:14" ht="30.75" customHeight="1" x14ac:dyDescent="0.3">
      <c r="A17" s="96"/>
      <c r="B17" s="563"/>
      <c r="C17" s="615" t="s">
        <v>716</v>
      </c>
      <c r="D17" s="407"/>
      <c r="E17" s="407"/>
      <c r="F17" s="408"/>
      <c r="G17" s="327"/>
      <c r="H17" s="328"/>
      <c r="I17" s="237"/>
      <c r="J17" s="329">
        <f t="shared" si="0"/>
        <v>0</v>
      </c>
      <c r="K17" s="330"/>
      <c r="L17" s="96"/>
      <c r="M17" s="96"/>
      <c r="N17" s="96"/>
    </row>
    <row r="18" spans="1:14" ht="31.5" customHeight="1" x14ac:dyDescent="0.3">
      <c r="A18" s="96"/>
      <c r="B18" s="563"/>
      <c r="C18" s="615" t="s">
        <v>717</v>
      </c>
      <c r="D18" s="407"/>
      <c r="E18" s="407"/>
      <c r="F18" s="408"/>
      <c r="G18" s="327"/>
      <c r="H18" s="328"/>
      <c r="I18" s="237"/>
      <c r="J18" s="329">
        <f t="shared" si="0"/>
        <v>0</v>
      </c>
      <c r="K18" s="330"/>
      <c r="L18" s="96"/>
      <c r="M18" s="96"/>
      <c r="N18" s="96"/>
    </row>
    <row r="19" spans="1:14" ht="37.5" customHeight="1" x14ac:dyDescent="0.3">
      <c r="A19" s="96"/>
      <c r="B19" s="563"/>
      <c r="C19" s="615" t="s">
        <v>718</v>
      </c>
      <c r="D19" s="407"/>
      <c r="E19" s="407"/>
      <c r="F19" s="408"/>
      <c r="G19" s="327"/>
      <c r="H19" s="328"/>
      <c r="I19" s="237"/>
      <c r="J19" s="329">
        <f t="shared" si="0"/>
        <v>0</v>
      </c>
      <c r="K19" s="330"/>
      <c r="L19" s="96"/>
      <c r="M19" s="96"/>
      <c r="N19" s="96"/>
    </row>
    <row r="20" spans="1:14" ht="33" customHeight="1" x14ac:dyDescent="0.3">
      <c r="A20" s="96"/>
      <c r="B20" s="563"/>
      <c r="C20" s="615" t="s">
        <v>719</v>
      </c>
      <c r="D20" s="407"/>
      <c r="E20" s="407"/>
      <c r="F20" s="408"/>
      <c r="G20" s="327"/>
      <c r="H20" s="328"/>
      <c r="I20" s="237"/>
      <c r="J20" s="329">
        <f t="shared" si="0"/>
        <v>0</v>
      </c>
      <c r="K20" s="330"/>
      <c r="L20" s="96"/>
      <c r="M20" s="96"/>
      <c r="N20" s="96"/>
    </row>
    <row r="21" spans="1:14" ht="29.25" customHeight="1" x14ac:dyDescent="0.3">
      <c r="A21" s="96"/>
      <c r="B21" s="563"/>
      <c r="C21" s="615" t="s">
        <v>720</v>
      </c>
      <c r="D21" s="407"/>
      <c r="E21" s="407"/>
      <c r="F21" s="408"/>
      <c r="G21" s="327"/>
      <c r="H21" s="328"/>
      <c r="I21" s="237"/>
      <c r="J21" s="329">
        <f t="shared" si="0"/>
        <v>0</v>
      </c>
      <c r="K21" s="330"/>
      <c r="L21" s="96"/>
      <c r="M21" s="96"/>
      <c r="N21" s="96"/>
    </row>
    <row r="22" spans="1:14" ht="15.75" customHeight="1" x14ac:dyDescent="0.3">
      <c r="A22" s="96"/>
      <c r="B22" s="546" t="s">
        <v>721</v>
      </c>
      <c r="C22" s="407"/>
      <c r="D22" s="407"/>
      <c r="E22" s="407"/>
      <c r="F22" s="407"/>
      <c r="G22" s="407"/>
      <c r="H22" s="407"/>
      <c r="I22" s="407"/>
      <c r="J22" s="407"/>
      <c r="K22" s="408"/>
      <c r="L22" s="96"/>
      <c r="M22" s="96"/>
      <c r="N22" s="96"/>
    </row>
    <row r="23" spans="1:14" ht="33" customHeight="1" x14ac:dyDescent="0.3">
      <c r="A23" s="96"/>
      <c r="B23" s="612"/>
      <c r="C23" s="615" t="s">
        <v>722</v>
      </c>
      <c r="D23" s="407"/>
      <c r="E23" s="407"/>
      <c r="F23" s="408"/>
      <c r="G23" s="327"/>
      <c r="H23" s="328"/>
      <c r="I23" s="237"/>
      <c r="J23" s="329">
        <f t="shared" ref="J23:J28" si="1">I23*H23</f>
        <v>0</v>
      </c>
      <c r="K23" s="330"/>
      <c r="L23" s="96"/>
      <c r="M23" s="96"/>
      <c r="N23" s="96"/>
    </row>
    <row r="24" spans="1:14" ht="30" customHeight="1" x14ac:dyDescent="0.3">
      <c r="A24" s="96"/>
      <c r="B24" s="563"/>
      <c r="C24" s="615" t="s">
        <v>723</v>
      </c>
      <c r="D24" s="407"/>
      <c r="E24" s="407"/>
      <c r="F24" s="408"/>
      <c r="G24" s="327"/>
      <c r="H24" s="328"/>
      <c r="I24" s="237"/>
      <c r="J24" s="329">
        <f t="shared" si="1"/>
        <v>0</v>
      </c>
      <c r="K24" s="331"/>
      <c r="L24" s="96"/>
      <c r="M24" s="96"/>
      <c r="N24" s="96"/>
    </row>
    <row r="25" spans="1:14" ht="31.5" customHeight="1" x14ac:dyDescent="0.3">
      <c r="A25" s="96"/>
      <c r="B25" s="563"/>
      <c r="C25" s="615" t="s">
        <v>724</v>
      </c>
      <c r="D25" s="407"/>
      <c r="E25" s="407"/>
      <c r="F25" s="408"/>
      <c r="G25" s="327"/>
      <c r="H25" s="328"/>
      <c r="I25" s="237"/>
      <c r="J25" s="329">
        <f t="shared" si="1"/>
        <v>0</v>
      </c>
      <c r="K25" s="331"/>
      <c r="L25" s="96"/>
      <c r="M25" s="96"/>
      <c r="N25" s="96"/>
    </row>
    <row r="26" spans="1:14" ht="30" customHeight="1" x14ac:dyDescent="0.3">
      <c r="A26" s="96"/>
      <c r="B26" s="563"/>
      <c r="C26" s="615" t="s">
        <v>724</v>
      </c>
      <c r="D26" s="407"/>
      <c r="E26" s="407"/>
      <c r="F26" s="408"/>
      <c r="G26" s="327"/>
      <c r="H26" s="328"/>
      <c r="I26" s="237"/>
      <c r="J26" s="329">
        <f t="shared" si="1"/>
        <v>0</v>
      </c>
      <c r="K26" s="331"/>
      <c r="L26" s="96"/>
      <c r="M26" s="96"/>
      <c r="N26" s="96"/>
    </row>
    <row r="27" spans="1:14" ht="30" customHeight="1" x14ac:dyDescent="0.3">
      <c r="B27" s="563"/>
      <c r="C27" s="615" t="s">
        <v>724</v>
      </c>
      <c r="D27" s="407"/>
      <c r="E27" s="407"/>
      <c r="F27" s="408"/>
      <c r="G27" s="332"/>
      <c r="H27" s="328"/>
      <c r="I27" s="237"/>
      <c r="J27" s="329">
        <f t="shared" si="1"/>
        <v>0</v>
      </c>
      <c r="K27" s="331"/>
    </row>
    <row r="28" spans="1:14" ht="32.25" customHeight="1" x14ac:dyDescent="0.3">
      <c r="B28" s="533"/>
      <c r="C28" s="615" t="s">
        <v>724</v>
      </c>
      <c r="D28" s="407"/>
      <c r="E28" s="407"/>
      <c r="F28" s="408"/>
      <c r="G28" s="327"/>
      <c r="H28" s="328"/>
      <c r="I28" s="237"/>
      <c r="J28" s="329">
        <f t="shared" si="1"/>
        <v>0</v>
      </c>
      <c r="K28" s="331"/>
    </row>
    <row r="29" spans="1:14" ht="18" customHeight="1" x14ac:dyDescent="0.3">
      <c r="B29" s="614" t="s">
        <v>725</v>
      </c>
      <c r="C29" s="407"/>
      <c r="D29" s="407"/>
      <c r="E29" s="407"/>
      <c r="F29" s="408"/>
      <c r="G29" s="333"/>
      <c r="H29" s="333"/>
      <c r="I29" s="334"/>
      <c r="J29" s="335">
        <f>J12+J13+J14+J15+J16+J17+J18+J19+J20+J21+J23+J24+J25+J26+J27+J28</f>
        <v>0</v>
      </c>
      <c r="K29" s="336"/>
    </row>
    <row r="30" spans="1:14" ht="15.75" customHeight="1" x14ac:dyDescent="0.3">
      <c r="B30" s="96"/>
      <c r="C30" s="96"/>
      <c r="D30" s="96"/>
      <c r="E30" s="96"/>
      <c r="F30" s="96"/>
      <c r="G30" s="96"/>
      <c r="H30" s="96"/>
      <c r="I30" s="96"/>
      <c r="J30" s="96"/>
      <c r="K30" s="96"/>
    </row>
    <row r="31" spans="1:14" ht="15.75" customHeight="1" x14ac:dyDescent="0.3">
      <c r="B31" s="546" t="s">
        <v>726</v>
      </c>
      <c r="C31" s="407"/>
      <c r="D31" s="407"/>
      <c r="E31" s="407"/>
      <c r="F31" s="407"/>
      <c r="G31" s="407"/>
      <c r="H31" s="407"/>
      <c r="I31" s="407"/>
      <c r="J31" s="407"/>
      <c r="K31" s="408"/>
    </row>
    <row r="32" spans="1:14" ht="15.75" customHeight="1" x14ac:dyDescent="0.3">
      <c r="B32" s="612"/>
      <c r="C32" s="613" t="s">
        <v>727</v>
      </c>
      <c r="D32" s="407"/>
      <c r="E32" s="407"/>
      <c r="F32" s="408"/>
      <c r="G32" s="337"/>
      <c r="H32" s="328"/>
      <c r="I32" s="237"/>
      <c r="J32" s="329">
        <f t="shared" ref="J32:J36" si="2">I32*H32</f>
        <v>0</v>
      </c>
      <c r="K32" s="331"/>
    </row>
    <row r="33" spans="2:11" ht="15.75" customHeight="1" x14ac:dyDescent="0.3">
      <c r="B33" s="563"/>
      <c r="C33" s="613" t="s">
        <v>728</v>
      </c>
      <c r="D33" s="407"/>
      <c r="E33" s="407"/>
      <c r="F33" s="408"/>
      <c r="G33" s="337"/>
      <c r="H33" s="328"/>
      <c r="I33" s="237"/>
      <c r="J33" s="329">
        <f t="shared" si="2"/>
        <v>0</v>
      </c>
      <c r="K33" s="331"/>
    </row>
    <row r="34" spans="2:11" ht="15.75" customHeight="1" x14ac:dyDescent="0.3">
      <c r="B34" s="563"/>
      <c r="C34" s="613" t="s">
        <v>729</v>
      </c>
      <c r="D34" s="407"/>
      <c r="E34" s="407"/>
      <c r="F34" s="408"/>
      <c r="G34" s="337"/>
      <c r="H34" s="328"/>
      <c r="I34" s="237"/>
      <c r="J34" s="329">
        <f t="shared" si="2"/>
        <v>0</v>
      </c>
      <c r="K34" s="331"/>
    </row>
    <row r="35" spans="2:11" ht="15.75" customHeight="1" x14ac:dyDescent="0.3">
      <c r="B35" s="563"/>
      <c r="C35" s="613" t="s">
        <v>730</v>
      </c>
      <c r="D35" s="407"/>
      <c r="E35" s="407"/>
      <c r="F35" s="408"/>
      <c r="G35" s="337"/>
      <c r="H35" s="328"/>
      <c r="I35" s="237"/>
      <c r="J35" s="329">
        <f t="shared" si="2"/>
        <v>0</v>
      </c>
      <c r="K35" s="331"/>
    </row>
    <row r="36" spans="2:11" ht="15.75" customHeight="1" x14ac:dyDescent="0.3">
      <c r="B36" s="533"/>
      <c r="C36" s="613" t="s">
        <v>731</v>
      </c>
      <c r="D36" s="407"/>
      <c r="E36" s="407"/>
      <c r="F36" s="408"/>
      <c r="G36" s="337"/>
      <c r="H36" s="328"/>
      <c r="I36" s="237"/>
      <c r="J36" s="329">
        <f t="shared" si="2"/>
        <v>0</v>
      </c>
      <c r="K36" s="331"/>
    </row>
    <row r="37" spans="2:11" ht="15.75" customHeight="1" x14ac:dyDescent="0.3">
      <c r="B37" s="614" t="s">
        <v>259</v>
      </c>
      <c r="C37" s="407"/>
      <c r="D37" s="407"/>
      <c r="E37" s="407"/>
      <c r="F37" s="408"/>
      <c r="G37" s="333"/>
      <c r="H37" s="333"/>
      <c r="I37" s="334"/>
      <c r="J37" s="335">
        <f>J32+J33+J34+J35+J36</f>
        <v>0</v>
      </c>
      <c r="K37" s="338"/>
    </row>
    <row r="38" spans="2:11" ht="15.75" customHeight="1" x14ac:dyDescent="0.3">
      <c r="B38" s="96"/>
      <c r="C38" s="96"/>
      <c r="D38" s="96"/>
      <c r="E38" s="96"/>
      <c r="F38" s="96"/>
      <c r="G38" s="96"/>
      <c r="H38" s="96"/>
      <c r="I38" s="96"/>
      <c r="J38" s="96"/>
      <c r="K38" s="96"/>
    </row>
    <row r="39" spans="2:11" ht="15.75" customHeight="1" x14ac:dyDescent="0.3">
      <c r="B39" s="609" t="s">
        <v>732</v>
      </c>
      <c r="C39" s="479"/>
      <c r="D39" s="479"/>
      <c r="E39" s="479"/>
      <c r="F39" s="479"/>
      <c r="G39" s="479"/>
      <c r="H39" s="479"/>
      <c r="I39" s="610"/>
      <c r="J39" s="339">
        <f>J37-J29</f>
        <v>0</v>
      </c>
      <c r="K39" s="340" t="str">
        <f>IF(J39&lt;0,"NÉGATIF",IF(J39&gt;0,"POSITIF","NUL"))</f>
        <v>NUL</v>
      </c>
    </row>
    <row r="40" spans="2:11" ht="15.75" customHeight="1" x14ac:dyDescent="0.3"/>
    <row r="41" spans="2:11" ht="15.75" customHeight="1" x14ac:dyDescent="0.3"/>
    <row r="42" spans="2:11" ht="15.75" customHeight="1" x14ac:dyDescent="0.3"/>
    <row r="43" spans="2:11" ht="15.75" customHeight="1" x14ac:dyDescent="0.3"/>
    <row r="44" spans="2:11" ht="15.75" customHeight="1" x14ac:dyDescent="0.3"/>
    <row r="45" spans="2:11" ht="15.75" customHeight="1" x14ac:dyDescent="0.3"/>
    <row r="46" spans="2:11" ht="15.75" customHeight="1" x14ac:dyDescent="0.3"/>
    <row r="47" spans="2:11" ht="15.75" customHeight="1" x14ac:dyDescent="0.3"/>
    <row r="48" spans="2: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39">
    <mergeCell ref="C8:H8"/>
    <mergeCell ref="I8:J8"/>
    <mergeCell ref="B2:E2"/>
    <mergeCell ref="F2:I2"/>
    <mergeCell ref="B4:E4"/>
    <mergeCell ref="H4:I4"/>
    <mergeCell ref="J4:K4"/>
    <mergeCell ref="F4:G4"/>
    <mergeCell ref="B31:K31"/>
    <mergeCell ref="C35:F35"/>
    <mergeCell ref="C14:F14"/>
    <mergeCell ref="C15:F15"/>
    <mergeCell ref="C16:F16"/>
    <mergeCell ref="C17:F17"/>
    <mergeCell ref="C18:F18"/>
    <mergeCell ref="C19:F19"/>
    <mergeCell ref="C20:F20"/>
    <mergeCell ref="C21:F21"/>
    <mergeCell ref="C32:F32"/>
    <mergeCell ref="C33:F33"/>
    <mergeCell ref="C36:F36"/>
    <mergeCell ref="B37:F37"/>
    <mergeCell ref="B39:I39"/>
    <mergeCell ref="B32:B36"/>
    <mergeCell ref="C34:F34"/>
    <mergeCell ref="B10:F10"/>
    <mergeCell ref="B11:K11"/>
    <mergeCell ref="B12:B21"/>
    <mergeCell ref="C12:F12"/>
    <mergeCell ref="C13:F13"/>
    <mergeCell ref="B29:F29"/>
    <mergeCell ref="B22:K22"/>
    <mergeCell ref="B23:B28"/>
    <mergeCell ref="C23:F23"/>
    <mergeCell ref="C24:F24"/>
    <mergeCell ref="C25:F25"/>
    <mergeCell ref="C26:F26"/>
    <mergeCell ref="C27:F27"/>
    <mergeCell ref="C28:F28"/>
  </mergeCells>
  <conditionalFormatting sqref="K39">
    <cfRule type="containsText" dxfId="7" priority="1" operator="containsText" text="POSITIF">
      <formula>NOT(ISERROR(SEARCH(("POSITIF"),(K39))))</formula>
    </cfRule>
    <cfRule type="containsText" dxfId="6" priority="2" operator="containsText" text="NÉGATIF">
      <formula>NOT(ISERROR(SEARCH(("NÉGATIF"),(K39))))</formula>
    </cfRule>
  </conditionalFormatting>
  <pageMargins left="0.70866141732283472" right="0.31496062992125984" top="0.74803149606299213" bottom="0.74803149606299213" header="0" footer="0"/>
  <pageSetup scale="70" orientation="portrait"/>
  <headerFooter>
    <oddFooter>&amp;LGrille d’analyse de crédit agricole développé par DID&amp;C_x000D_#000000 Usage Interne</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2:N100"/>
  <sheetViews>
    <sheetView showGridLines="0" workbookViewId="0"/>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6.5546875" customWidth="1"/>
    <col min="6" max="6" width="9.88671875" customWidth="1"/>
    <col min="7" max="7" width="10.109375" customWidth="1"/>
    <col min="8" max="8" width="14.44140625" customWidth="1"/>
    <col min="9" max="9" width="19" customWidth="1"/>
    <col min="10" max="10" width="17.88671875" customWidth="1"/>
    <col min="11" max="11" width="24" customWidth="1"/>
    <col min="12" max="14" width="10.88671875" customWidth="1"/>
  </cols>
  <sheetData>
    <row r="2" spans="1:14" ht="17.399999999999999" x14ac:dyDescent="0.35">
      <c r="B2" s="432" t="s">
        <v>535</v>
      </c>
      <c r="C2" s="399"/>
      <c r="D2" s="399"/>
      <c r="E2" s="399"/>
      <c r="F2" s="487" t="str">
        <f>TRFM2!F2</f>
        <v>MARIAMA KABA</v>
      </c>
      <c r="G2" s="382"/>
      <c r="H2" s="382"/>
      <c r="I2" s="383"/>
      <c r="J2" s="60" t="s">
        <v>429</v>
      </c>
      <c r="K2" s="150" t="str">
        <f>TRFM2!K2</f>
        <v>FORECARIAH</v>
      </c>
    </row>
    <row r="3" spans="1:14" ht="17.399999999999999" x14ac:dyDescent="0.35">
      <c r="B3" s="73"/>
      <c r="C3" s="73"/>
      <c r="D3" s="73"/>
      <c r="E3" s="73"/>
      <c r="F3" s="73"/>
      <c r="G3" s="73"/>
      <c r="H3" s="73"/>
      <c r="I3" s="73"/>
      <c r="J3" s="73"/>
      <c r="K3" s="73"/>
    </row>
    <row r="4" spans="1:14" ht="17.399999999999999" x14ac:dyDescent="0.35">
      <c r="B4" s="432" t="s">
        <v>536</v>
      </c>
      <c r="C4" s="399"/>
      <c r="D4" s="399"/>
      <c r="E4" s="399"/>
      <c r="F4" s="618">
        <f>TRFM2!F4</f>
        <v>10300181501</v>
      </c>
      <c r="G4" s="383"/>
      <c r="H4" s="431" t="s">
        <v>433</v>
      </c>
      <c r="I4" s="399"/>
      <c r="J4" s="487" t="str">
        <f>'1. DEMANDE'!AD7</f>
        <v>MOHAMED MMAH CAMARA</v>
      </c>
      <c r="K4" s="383"/>
    </row>
    <row r="5" spans="1:14" ht="14.4" x14ac:dyDescent="0.3">
      <c r="K5" s="112"/>
    </row>
    <row r="6" spans="1:14" ht="17.399999999999999" x14ac:dyDescent="0.3">
      <c r="I6" s="60" t="s">
        <v>515</v>
      </c>
      <c r="J6" s="226">
        <f>TRFM2!J6</f>
        <v>46093</v>
      </c>
    </row>
    <row r="7" spans="1:14" ht="12" customHeight="1" x14ac:dyDescent="0.3">
      <c r="I7" s="60"/>
    </row>
    <row r="8" spans="1:14" ht="18" x14ac:dyDescent="0.35">
      <c r="B8" s="325" t="s">
        <v>735</v>
      </c>
      <c r="C8" s="611" t="s">
        <v>736</v>
      </c>
      <c r="D8" s="382"/>
      <c r="E8" s="382"/>
      <c r="F8" s="382"/>
      <c r="G8" s="382"/>
      <c r="H8" s="383"/>
      <c r="I8" s="616"/>
      <c r="J8" s="383"/>
      <c r="K8" s="155"/>
    </row>
    <row r="10" spans="1:14" ht="18" customHeight="1" x14ac:dyDescent="0.3">
      <c r="B10" s="617" t="s">
        <v>706</v>
      </c>
      <c r="C10" s="407"/>
      <c r="D10" s="407"/>
      <c r="E10" s="407"/>
      <c r="F10" s="408"/>
      <c r="G10" s="326" t="s">
        <v>707</v>
      </c>
      <c r="H10" s="326" t="s">
        <v>708</v>
      </c>
      <c r="I10" s="326" t="s">
        <v>709</v>
      </c>
      <c r="J10" s="326" t="s">
        <v>710</v>
      </c>
      <c r="K10" s="326" t="s">
        <v>583</v>
      </c>
    </row>
    <row r="11" spans="1:14" ht="18" customHeight="1" x14ac:dyDescent="0.3">
      <c r="B11" s="546" t="s">
        <v>711</v>
      </c>
      <c r="C11" s="407"/>
      <c r="D11" s="407"/>
      <c r="E11" s="407"/>
      <c r="F11" s="407"/>
      <c r="G11" s="407"/>
      <c r="H11" s="407"/>
      <c r="I11" s="407"/>
      <c r="J11" s="407"/>
      <c r="K11" s="408"/>
    </row>
    <row r="12" spans="1:14" ht="36" customHeight="1" x14ac:dyDescent="0.3">
      <c r="A12" s="96"/>
      <c r="B12" s="612"/>
      <c r="C12" s="615" t="s">
        <v>712</v>
      </c>
      <c r="D12" s="407"/>
      <c r="E12" s="407"/>
      <c r="F12" s="408"/>
      <c r="G12" s="327"/>
      <c r="H12" s="328"/>
      <c r="I12" s="237"/>
      <c r="J12" s="329">
        <f t="shared" ref="J12:J21" si="0">I12*H12</f>
        <v>0</v>
      </c>
      <c r="K12" s="330"/>
      <c r="L12" s="96"/>
      <c r="M12" s="96"/>
      <c r="N12" s="96"/>
    </row>
    <row r="13" spans="1:14" ht="33.75" customHeight="1" x14ac:dyDescent="0.3">
      <c r="A13" s="96"/>
      <c r="B13" s="563"/>
      <c r="C13" s="615" t="s">
        <v>712</v>
      </c>
      <c r="D13" s="407"/>
      <c r="E13" s="407"/>
      <c r="F13" s="408"/>
      <c r="G13" s="327"/>
      <c r="H13" s="328"/>
      <c r="I13" s="237"/>
      <c r="J13" s="329">
        <f t="shared" si="0"/>
        <v>0</v>
      </c>
      <c r="K13" s="330"/>
      <c r="L13" s="96"/>
      <c r="M13" s="96"/>
      <c r="N13" s="96"/>
    </row>
    <row r="14" spans="1:14" ht="30" customHeight="1" x14ac:dyDescent="0.3">
      <c r="A14" s="96"/>
      <c r="B14" s="563"/>
      <c r="C14" s="615" t="s">
        <v>713</v>
      </c>
      <c r="D14" s="407"/>
      <c r="E14" s="407"/>
      <c r="F14" s="408"/>
      <c r="G14" s="327"/>
      <c r="H14" s="328"/>
      <c r="I14" s="237"/>
      <c r="J14" s="329">
        <f t="shared" si="0"/>
        <v>0</v>
      </c>
      <c r="K14" s="330"/>
      <c r="L14" s="96"/>
      <c r="M14" s="96"/>
      <c r="N14" s="96"/>
    </row>
    <row r="15" spans="1:14" ht="33" customHeight="1" x14ac:dyDescent="0.3">
      <c r="A15" s="96"/>
      <c r="B15" s="563"/>
      <c r="C15" s="615" t="s">
        <v>714</v>
      </c>
      <c r="D15" s="407"/>
      <c r="E15" s="407"/>
      <c r="F15" s="408"/>
      <c r="G15" s="327"/>
      <c r="H15" s="328"/>
      <c r="I15" s="237"/>
      <c r="J15" s="329">
        <f t="shared" si="0"/>
        <v>0</v>
      </c>
      <c r="K15" s="330"/>
      <c r="L15" s="96"/>
      <c r="M15" s="96"/>
      <c r="N15" s="96"/>
    </row>
    <row r="16" spans="1:14" ht="33" customHeight="1" x14ac:dyDescent="0.3">
      <c r="A16" s="96"/>
      <c r="B16" s="563"/>
      <c r="C16" s="615" t="s">
        <v>715</v>
      </c>
      <c r="D16" s="407"/>
      <c r="E16" s="407"/>
      <c r="F16" s="408"/>
      <c r="G16" s="327"/>
      <c r="H16" s="328"/>
      <c r="I16" s="237"/>
      <c r="J16" s="329">
        <f t="shared" si="0"/>
        <v>0</v>
      </c>
      <c r="K16" s="330"/>
      <c r="L16" s="96"/>
      <c r="M16" s="96"/>
      <c r="N16" s="96"/>
    </row>
    <row r="17" spans="1:14" ht="30.75" customHeight="1" x14ac:dyDescent="0.3">
      <c r="A17" s="96"/>
      <c r="B17" s="563"/>
      <c r="C17" s="615" t="s">
        <v>716</v>
      </c>
      <c r="D17" s="407"/>
      <c r="E17" s="407"/>
      <c r="F17" s="408"/>
      <c r="G17" s="327"/>
      <c r="H17" s="328"/>
      <c r="I17" s="237"/>
      <c r="J17" s="329">
        <f t="shared" si="0"/>
        <v>0</v>
      </c>
      <c r="K17" s="330"/>
      <c r="L17" s="96"/>
      <c r="M17" s="96"/>
      <c r="N17" s="96"/>
    </row>
    <row r="18" spans="1:14" ht="31.5" customHeight="1" x14ac:dyDescent="0.3">
      <c r="A18" s="96"/>
      <c r="B18" s="563"/>
      <c r="C18" s="615" t="s">
        <v>717</v>
      </c>
      <c r="D18" s="407"/>
      <c r="E18" s="407"/>
      <c r="F18" s="408"/>
      <c r="G18" s="327"/>
      <c r="H18" s="328"/>
      <c r="I18" s="237"/>
      <c r="J18" s="329">
        <f t="shared" si="0"/>
        <v>0</v>
      </c>
      <c r="K18" s="330"/>
      <c r="L18" s="96"/>
      <c r="M18" s="96"/>
      <c r="N18" s="96"/>
    </row>
    <row r="19" spans="1:14" ht="37.5" customHeight="1" x14ac:dyDescent="0.3">
      <c r="A19" s="96"/>
      <c r="B19" s="563"/>
      <c r="C19" s="615" t="s">
        <v>718</v>
      </c>
      <c r="D19" s="407"/>
      <c r="E19" s="407"/>
      <c r="F19" s="408"/>
      <c r="G19" s="327"/>
      <c r="H19" s="328"/>
      <c r="I19" s="237"/>
      <c r="J19" s="329">
        <f t="shared" si="0"/>
        <v>0</v>
      </c>
      <c r="K19" s="330"/>
      <c r="L19" s="96"/>
      <c r="M19" s="96"/>
      <c r="N19" s="96"/>
    </row>
    <row r="20" spans="1:14" ht="33" customHeight="1" x14ac:dyDescent="0.3">
      <c r="A20" s="96"/>
      <c r="B20" s="563"/>
      <c r="C20" s="615" t="s">
        <v>719</v>
      </c>
      <c r="D20" s="407"/>
      <c r="E20" s="407"/>
      <c r="F20" s="408"/>
      <c r="G20" s="327"/>
      <c r="H20" s="328"/>
      <c r="I20" s="237"/>
      <c r="J20" s="329">
        <f t="shared" si="0"/>
        <v>0</v>
      </c>
      <c r="K20" s="330"/>
      <c r="L20" s="96"/>
      <c r="M20" s="96"/>
      <c r="N20" s="96"/>
    </row>
    <row r="21" spans="1:14" ht="29.25" customHeight="1" x14ac:dyDescent="0.3">
      <c r="A21" s="96"/>
      <c r="B21" s="563"/>
      <c r="C21" s="615" t="s">
        <v>720</v>
      </c>
      <c r="D21" s="407"/>
      <c r="E21" s="407"/>
      <c r="F21" s="408"/>
      <c r="G21" s="327"/>
      <c r="H21" s="328"/>
      <c r="I21" s="237"/>
      <c r="J21" s="329">
        <f t="shared" si="0"/>
        <v>0</v>
      </c>
      <c r="K21" s="330"/>
      <c r="L21" s="96"/>
      <c r="M21" s="96"/>
      <c r="N21" s="96"/>
    </row>
    <row r="22" spans="1:14" ht="15.75" customHeight="1" x14ac:dyDescent="0.3">
      <c r="A22" s="96"/>
      <c r="B22" s="546" t="s">
        <v>721</v>
      </c>
      <c r="C22" s="407"/>
      <c r="D22" s="407"/>
      <c r="E22" s="407"/>
      <c r="F22" s="407"/>
      <c r="G22" s="407"/>
      <c r="H22" s="407"/>
      <c r="I22" s="407"/>
      <c r="J22" s="407"/>
      <c r="K22" s="408"/>
      <c r="L22" s="96"/>
      <c r="M22" s="96"/>
      <c r="N22" s="96"/>
    </row>
    <row r="23" spans="1:14" ht="33" customHeight="1" x14ac:dyDescent="0.3">
      <c r="A23" s="96"/>
      <c r="B23" s="612"/>
      <c r="C23" s="615" t="s">
        <v>722</v>
      </c>
      <c r="D23" s="407"/>
      <c r="E23" s="407"/>
      <c r="F23" s="408"/>
      <c r="G23" s="327"/>
      <c r="H23" s="328"/>
      <c r="I23" s="237"/>
      <c r="J23" s="329">
        <f t="shared" ref="J23:J28" si="1">I23*H23</f>
        <v>0</v>
      </c>
      <c r="K23" s="330"/>
      <c r="L23" s="96"/>
      <c r="M23" s="96"/>
      <c r="N23" s="96"/>
    </row>
    <row r="24" spans="1:14" ht="30" customHeight="1" x14ac:dyDescent="0.3">
      <c r="A24" s="96"/>
      <c r="B24" s="563"/>
      <c r="C24" s="615" t="s">
        <v>723</v>
      </c>
      <c r="D24" s="407"/>
      <c r="E24" s="407"/>
      <c r="F24" s="408"/>
      <c r="G24" s="327"/>
      <c r="H24" s="328"/>
      <c r="I24" s="237"/>
      <c r="J24" s="329">
        <f t="shared" si="1"/>
        <v>0</v>
      </c>
      <c r="K24" s="331"/>
      <c r="L24" s="96"/>
      <c r="M24" s="96"/>
      <c r="N24" s="96"/>
    </row>
    <row r="25" spans="1:14" ht="31.5" customHeight="1" x14ac:dyDescent="0.3">
      <c r="A25" s="96"/>
      <c r="B25" s="563"/>
      <c r="C25" s="615" t="s">
        <v>724</v>
      </c>
      <c r="D25" s="407"/>
      <c r="E25" s="407"/>
      <c r="F25" s="408"/>
      <c r="G25" s="327"/>
      <c r="H25" s="328"/>
      <c r="I25" s="237"/>
      <c r="J25" s="329">
        <f t="shared" si="1"/>
        <v>0</v>
      </c>
      <c r="K25" s="331"/>
      <c r="L25" s="96"/>
      <c r="M25" s="96"/>
      <c r="N25" s="96"/>
    </row>
    <row r="26" spans="1:14" ht="30" customHeight="1" x14ac:dyDescent="0.3">
      <c r="A26" s="96"/>
      <c r="B26" s="563"/>
      <c r="C26" s="615" t="s">
        <v>724</v>
      </c>
      <c r="D26" s="407"/>
      <c r="E26" s="407"/>
      <c r="F26" s="408"/>
      <c r="G26" s="327"/>
      <c r="H26" s="328"/>
      <c r="I26" s="237"/>
      <c r="J26" s="329">
        <f t="shared" si="1"/>
        <v>0</v>
      </c>
      <c r="K26" s="331"/>
      <c r="L26" s="96"/>
      <c r="M26" s="96"/>
      <c r="N26" s="96"/>
    </row>
    <row r="27" spans="1:14" ht="30" customHeight="1" x14ac:dyDescent="0.3">
      <c r="B27" s="563"/>
      <c r="C27" s="615" t="s">
        <v>724</v>
      </c>
      <c r="D27" s="407"/>
      <c r="E27" s="407"/>
      <c r="F27" s="408"/>
      <c r="G27" s="332"/>
      <c r="H27" s="328"/>
      <c r="I27" s="237"/>
      <c r="J27" s="329">
        <f t="shared" si="1"/>
        <v>0</v>
      </c>
      <c r="K27" s="331"/>
    </row>
    <row r="28" spans="1:14" ht="32.25" customHeight="1" x14ac:dyDescent="0.3">
      <c r="B28" s="533"/>
      <c r="C28" s="615" t="s">
        <v>724</v>
      </c>
      <c r="D28" s="407"/>
      <c r="E28" s="407"/>
      <c r="F28" s="408"/>
      <c r="G28" s="327"/>
      <c r="H28" s="328"/>
      <c r="I28" s="237"/>
      <c r="J28" s="329">
        <f t="shared" si="1"/>
        <v>0</v>
      </c>
      <c r="K28" s="331"/>
    </row>
    <row r="29" spans="1:14" ht="18" customHeight="1" x14ac:dyDescent="0.3">
      <c r="B29" s="614" t="s">
        <v>725</v>
      </c>
      <c r="C29" s="407"/>
      <c r="D29" s="407"/>
      <c r="E29" s="407"/>
      <c r="F29" s="408"/>
      <c r="G29" s="333"/>
      <c r="H29" s="333"/>
      <c r="I29" s="334"/>
      <c r="J29" s="335">
        <f>J12+J13+J14+J15+J16+J17+J18+J19+J20+J21+J23+J24+J25+J26+J27+J28</f>
        <v>0</v>
      </c>
      <c r="K29" s="336"/>
    </row>
    <row r="30" spans="1:14" ht="15.75" customHeight="1" x14ac:dyDescent="0.3">
      <c r="B30" s="96"/>
      <c r="C30" s="96"/>
      <c r="D30" s="96"/>
      <c r="E30" s="96"/>
      <c r="F30" s="96"/>
      <c r="G30" s="96"/>
      <c r="H30" s="96"/>
      <c r="I30" s="96"/>
      <c r="J30" s="96"/>
      <c r="K30" s="96"/>
    </row>
    <row r="31" spans="1:14" ht="15.75" customHeight="1" x14ac:dyDescent="0.3">
      <c r="B31" s="546" t="s">
        <v>726</v>
      </c>
      <c r="C31" s="407"/>
      <c r="D31" s="407"/>
      <c r="E31" s="407"/>
      <c r="F31" s="407"/>
      <c r="G31" s="407"/>
      <c r="H31" s="407"/>
      <c r="I31" s="407"/>
      <c r="J31" s="407"/>
      <c r="K31" s="408"/>
    </row>
    <row r="32" spans="1:14" ht="15.75" customHeight="1" x14ac:dyDescent="0.3">
      <c r="B32" s="612"/>
      <c r="C32" s="613" t="s">
        <v>727</v>
      </c>
      <c r="D32" s="407"/>
      <c r="E32" s="407"/>
      <c r="F32" s="408"/>
      <c r="G32" s="337"/>
      <c r="H32" s="328"/>
      <c r="I32" s="237"/>
      <c r="J32" s="329">
        <f t="shared" ref="J32:J36" si="2">I32*H32</f>
        <v>0</v>
      </c>
      <c r="K32" s="331"/>
    </row>
    <row r="33" spans="2:11" ht="15.75" customHeight="1" x14ac:dyDescent="0.3">
      <c r="B33" s="563"/>
      <c r="C33" s="613" t="s">
        <v>728</v>
      </c>
      <c r="D33" s="407"/>
      <c r="E33" s="407"/>
      <c r="F33" s="408"/>
      <c r="G33" s="337"/>
      <c r="H33" s="328"/>
      <c r="I33" s="237"/>
      <c r="J33" s="329">
        <f t="shared" si="2"/>
        <v>0</v>
      </c>
      <c r="K33" s="331"/>
    </row>
    <row r="34" spans="2:11" ht="15.75" customHeight="1" x14ac:dyDescent="0.3">
      <c r="B34" s="563"/>
      <c r="C34" s="613" t="s">
        <v>729</v>
      </c>
      <c r="D34" s="407"/>
      <c r="E34" s="407"/>
      <c r="F34" s="408"/>
      <c r="G34" s="337"/>
      <c r="H34" s="328"/>
      <c r="I34" s="237"/>
      <c r="J34" s="329">
        <f t="shared" si="2"/>
        <v>0</v>
      </c>
      <c r="K34" s="331"/>
    </row>
    <row r="35" spans="2:11" ht="15.75" customHeight="1" x14ac:dyDescent="0.3">
      <c r="B35" s="563"/>
      <c r="C35" s="613" t="s">
        <v>730</v>
      </c>
      <c r="D35" s="407"/>
      <c r="E35" s="407"/>
      <c r="F35" s="408"/>
      <c r="G35" s="337"/>
      <c r="H35" s="328"/>
      <c r="I35" s="237"/>
      <c r="J35" s="329">
        <f t="shared" si="2"/>
        <v>0</v>
      </c>
      <c r="K35" s="331"/>
    </row>
    <row r="36" spans="2:11" ht="15.75" customHeight="1" x14ac:dyDescent="0.3">
      <c r="B36" s="533"/>
      <c r="C36" s="613" t="s">
        <v>731</v>
      </c>
      <c r="D36" s="407"/>
      <c r="E36" s="407"/>
      <c r="F36" s="408"/>
      <c r="G36" s="337"/>
      <c r="H36" s="328"/>
      <c r="I36" s="237"/>
      <c r="J36" s="329">
        <f t="shared" si="2"/>
        <v>0</v>
      </c>
      <c r="K36" s="331"/>
    </row>
    <row r="37" spans="2:11" ht="15.75" customHeight="1" x14ac:dyDescent="0.3">
      <c r="B37" s="614" t="s">
        <v>259</v>
      </c>
      <c r="C37" s="407"/>
      <c r="D37" s="407"/>
      <c r="E37" s="407"/>
      <c r="F37" s="408"/>
      <c r="G37" s="333"/>
      <c r="H37" s="333"/>
      <c r="I37" s="334"/>
      <c r="J37" s="335">
        <f>J32+J33+J34+J35+J36</f>
        <v>0</v>
      </c>
      <c r="K37" s="338"/>
    </row>
    <row r="38" spans="2:11" ht="15.75" customHeight="1" x14ac:dyDescent="0.3">
      <c r="B38" s="96"/>
      <c r="C38" s="96"/>
      <c r="D38" s="96"/>
      <c r="E38" s="96"/>
      <c r="F38" s="96"/>
      <c r="G38" s="96"/>
      <c r="H38" s="96"/>
      <c r="I38" s="96"/>
      <c r="J38" s="96"/>
      <c r="K38" s="96"/>
    </row>
    <row r="39" spans="2:11" ht="15.75" customHeight="1" x14ac:dyDescent="0.3">
      <c r="B39" s="609" t="s">
        <v>732</v>
      </c>
      <c r="C39" s="479"/>
      <c r="D39" s="479"/>
      <c r="E39" s="479"/>
      <c r="F39" s="479"/>
      <c r="G39" s="479"/>
      <c r="H39" s="479"/>
      <c r="I39" s="610"/>
      <c r="J39" s="339">
        <f>J37-J29</f>
        <v>0</v>
      </c>
      <c r="K39" s="340" t="str">
        <f>IF(J39&lt;0,"NÉGATIF",IF(J39&gt;0,"POSITIF","NUL"))</f>
        <v>NUL</v>
      </c>
    </row>
    <row r="40" spans="2:11" ht="15.75" customHeight="1" x14ac:dyDescent="0.3"/>
    <row r="41" spans="2:11" ht="15.75" customHeight="1" x14ac:dyDescent="0.3"/>
    <row r="42" spans="2:11" ht="15.75" customHeight="1" x14ac:dyDescent="0.3"/>
    <row r="43" spans="2:11" ht="15.75" customHeight="1" x14ac:dyDescent="0.3"/>
    <row r="44" spans="2:11" ht="15.75" customHeight="1" x14ac:dyDescent="0.3"/>
    <row r="45" spans="2:11" ht="15.75" customHeight="1" x14ac:dyDescent="0.3"/>
    <row r="46" spans="2:11" ht="15.75" customHeight="1" x14ac:dyDescent="0.3"/>
    <row r="47" spans="2:11" ht="15.75" customHeight="1" x14ac:dyDescent="0.3"/>
    <row r="48" spans="2:11"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39">
    <mergeCell ref="C8:H8"/>
    <mergeCell ref="I8:J8"/>
    <mergeCell ref="B2:E2"/>
    <mergeCell ref="F2:I2"/>
    <mergeCell ref="B4:E4"/>
    <mergeCell ref="H4:I4"/>
    <mergeCell ref="J4:K4"/>
    <mergeCell ref="F4:G4"/>
    <mergeCell ref="B31:K31"/>
    <mergeCell ref="C35:F35"/>
    <mergeCell ref="C14:F14"/>
    <mergeCell ref="C15:F15"/>
    <mergeCell ref="C16:F16"/>
    <mergeCell ref="C17:F17"/>
    <mergeCell ref="C18:F18"/>
    <mergeCell ref="C19:F19"/>
    <mergeCell ref="C20:F20"/>
    <mergeCell ref="C21:F21"/>
    <mergeCell ref="C32:F32"/>
    <mergeCell ref="C33:F33"/>
    <mergeCell ref="C36:F36"/>
    <mergeCell ref="B37:F37"/>
    <mergeCell ref="B39:I39"/>
    <mergeCell ref="B32:B36"/>
    <mergeCell ref="C34:F34"/>
    <mergeCell ref="B10:F10"/>
    <mergeCell ref="B11:K11"/>
    <mergeCell ref="B12:B21"/>
    <mergeCell ref="C12:F12"/>
    <mergeCell ref="C13:F13"/>
    <mergeCell ref="B29:F29"/>
    <mergeCell ref="B22:K22"/>
    <mergeCell ref="B23:B28"/>
    <mergeCell ref="C23:F23"/>
    <mergeCell ref="C24:F24"/>
    <mergeCell ref="C25:F25"/>
    <mergeCell ref="C26:F26"/>
    <mergeCell ref="C27:F27"/>
    <mergeCell ref="C28:F28"/>
  </mergeCells>
  <conditionalFormatting sqref="K39">
    <cfRule type="containsText" dxfId="5" priority="1" operator="containsText" text="POSITIF">
      <formula>NOT(ISERROR(SEARCH(("POSITIF"),(K39))))</formula>
    </cfRule>
    <cfRule type="containsText" dxfId="4" priority="2" operator="containsText" text="NÉGATIF">
      <formula>NOT(ISERROR(SEARCH(("NÉGATIF"),(K39))))</formula>
    </cfRule>
  </conditionalFormatting>
  <pageMargins left="0.70866141732283472" right="0.31496062992125984" top="0.74803149606299213" bottom="0.74803149606299213" header="0" footer="0"/>
  <pageSetup scale="70" orientation="portrait"/>
  <headerFooter>
    <oddFooter>&amp;LGrille d’analyse de crédit agricole développé par DID&amp;C_x000D_#000000 Usage Interne</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N100"/>
  <sheetViews>
    <sheetView showGridLines="0" workbookViewId="0"/>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6.5546875" customWidth="1"/>
    <col min="6" max="6" width="9.88671875" customWidth="1"/>
    <col min="7" max="7" width="10.109375" customWidth="1"/>
    <col min="8" max="8" width="14.44140625" customWidth="1"/>
    <col min="9" max="9" width="19" customWidth="1"/>
    <col min="10" max="10" width="17.88671875" customWidth="1"/>
    <col min="11" max="11" width="24" customWidth="1"/>
    <col min="12" max="14" width="10.88671875" customWidth="1"/>
  </cols>
  <sheetData>
    <row r="1" spans="1:14" ht="14.4" x14ac:dyDescent="0.3">
      <c r="K1" s="88"/>
    </row>
    <row r="2" spans="1:14" ht="17.399999999999999" x14ac:dyDescent="0.35">
      <c r="B2" s="432" t="s">
        <v>535</v>
      </c>
      <c r="C2" s="399"/>
      <c r="D2" s="399"/>
      <c r="E2" s="399"/>
      <c r="F2" s="487" t="str">
        <f>TRFM3!F2</f>
        <v>MARIAMA KABA</v>
      </c>
      <c r="G2" s="382"/>
      <c r="H2" s="382"/>
      <c r="I2" s="383"/>
      <c r="J2" s="60" t="s">
        <v>429</v>
      </c>
      <c r="K2" s="342" t="str">
        <f>TRFM3!K2</f>
        <v>FORECARIAH</v>
      </c>
    </row>
    <row r="3" spans="1:14" ht="17.399999999999999" x14ac:dyDescent="0.35">
      <c r="B3" s="73"/>
      <c r="C3" s="73"/>
      <c r="D3" s="73"/>
      <c r="E3" s="73"/>
      <c r="F3" s="73"/>
      <c r="G3" s="73"/>
      <c r="H3" s="73"/>
      <c r="I3" s="73"/>
      <c r="J3" s="73"/>
      <c r="K3" s="343"/>
    </row>
    <row r="4" spans="1:14" ht="17.399999999999999" x14ac:dyDescent="0.35">
      <c r="B4" s="432" t="s">
        <v>536</v>
      </c>
      <c r="C4" s="399"/>
      <c r="D4" s="399"/>
      <c r="E4" s="399"/>
      <c r="F4" s="619">
        <f>TRFM3!F4</f>
        <v>10300181501</v>
      </c>
      <c r="G4" s="383"/>
      <c r="H4" s="431" t="s">
        <v>433</v>
      </c>
      <c r="I4" s="399"/>
      <c r="J4" s="487" t="str">
        <f>'1. DEMANDE'!AD7</f>
        <v>MOHAMED MMAH CAMARA</v>
      </c>
      <c r="K4" s="383"/>
    </row>
    <row r="5" spans="1:14" ht="14.4" x14ac:dyDescent="0.3">
      <c r="K5" s="344"/>
    </row>
    <row r="6" spans="1:14" ht="17.399999999999999" x14ac:dyDescent="0.3">
      <c r="I6" s="60" t="s">
        <v>515</v>
      </c>
      <c r="J6" s="226">
        <f>TRFM3!J6</f>
        <v>46093</v>
      </c>
      <c r="K6" s="88"/>
    </row>
    <row r="7" spans="1:14" ht="12" customHeight="1" x14ac:dyDescent="0.3">
      <c r="I7" s="60"/>
      <c r="K7" s="88"/>
    </row>
    <row r="8" spans="1:14" ht="18" x14ac:dyDescent="0.35">
      <c r="B8" s="325" t="s">
        <v>737</v>
      </c>
      <c r="C8" s="155" t="s">
        <v>738</v>
      </c>
      <c r="D8" s="155"/>
      <c r="E8" s="155"/>
      <c r="F8" s="611" t="str">
        <f>IF('1. DEMANDE'!G30="AGRICULTURE","COMMERCIALISATION","ACTIVITÉ COMMERCE")</f>
        <v>COMMERCIALISATION</v>
      </c>
      <c r="G8" s="382"/>
      <c r="H8" s="383"/>
      <c r="I8" s="616"/>
      <c r="J8" s="383"/>
      <c r="K8" s="345"/>
    </row>
    <row r="9" spans="1:14" ht="14.4" x14ac:dyDescent="0.3">
      <c r="K9" s="88"/>
    </row>
    <row r="10" spans="1:14" ht="18" customHeight="1" x14ac:dyDescent="0.3">
      <c r="B10" s="617" t="s">
        <v>706</v>
      </c>
      <c r="C10" s="407"/>
      <c r="D10" s="407"/>
      <c r="E10" s="407"/>
      <c r="F10" s="408"/>
      <c r="G10" s="326" t="s">
        <v>707</v>
      </c>
      <c r="H10" s="326" t="s">
        <v>708</v>
      </c>
      <c r="I10" s="326" t="s">
        <v>709</v>
      </c>
      <c r="J10" s="326" t="s">
        <v>710</v>
      </c>
      <c r="K10" s="346" t="s">
        <v>583</v>
      </c>
    </row>
    <row r="11" spans="1:14" ht="18" customHeight="1" x14ac:dyDescent="0.3">
      <c r="B11" s="546" t="str">
        <f>IF('1. DEMANDE'!G30="AGRICULTURE","Achats de produits agricoles","Achats de marchandises et les frais variables d'achat")</f>
        <v>Achats de produits agricoles</v>
      </c>
      <c r="C11" s="407"/>
      <c r="D11" s="407"/>
      <c r="E11" s="407"/>
      <c r="F11" s="407"/>
      <c r="G11" s="407"/>
      <c r="H11" s="407"/>
      <c r="I11" s="407"/>
      <c r="J11" s="407"/>
      <c r="K11" s="408"/>
    </row>
    <row r="12" spans="1:14" ht="36" customHeight="1" x14ac:dyDescent="0.3">
      <c r="A12" s="96"/>
      <c r="B12" s="347"/>
      <c r="C12" s="615" t="s">
        <v>739</v>
      </c>
      <c r="D12" s="407"/>
      <c r="E12" s="407"/>
      <c r="F12" s="408"/>
      <c r="G12" s="327"/>
      <c r="H12" s="328"/>
      <c r="I12" s="237"/>
      <c r="J12" s="329">
        <f t="shared" ref="J12:J23" si="0">I12*H12</f>
        <v>0</v>
      </c>
      <c r="K12" s="330"/>
      <c r="L12" s="96"/>
      <c r="M12" s="96"/>
      <c r="N12" s="96"/>
    </row>
    <row r="13" spans="1:14" ht="33.75" customHeight="1" x14ac:dyDescent="0.3">
      <c r="A13" s="96"/>
      <c r="B13" s="348"/>
      <c r="C13" s="615" t="s">
        <v>740</v>
      </c>
      <c r="D13" s="407"/>
      <c r="E13" s="407"/>
      <c r="F13" s="408"/>
      <c r="G13" s="327"/>
      <c r="H13" s="328"/>
      <c r="I13" s="237"/>
      <c r="J13" s="329">
        <f t="shared" si="0"/>
        <v>0</v>
      </c>
      <c r="K13" s="330"/>
      <c r="L13" s="96"/>
      <c r="M13" s="96"/>
      <c r="N13" s="96"/>
    </row>
    <row r="14" spans="1:14" ht="30" customHeight="1" x14ac:dyDescent="0.3">
      <c r="A14" s="96"/>
      <c r="B14" s="348"/>
      <c r="C14" s="615" t="s">
        <v>741</v>
      </c>
      <c r="D14" s="407"/>
      <c r="E14" s="407"/>
      <c r="F14" s="408"/>
      <c r="G14" s="327"/>
      <c r="H14" s="328"/>
      <c r="I14" s="237"/>
      <c r="J14" s="329">
        <f t="shared" si="0"/>
        <v>0</v>
      </c>
      <c r="K14" s="330"/>
      <c r="L14" s="96"/>
      <c r="M14" s="96"/>
      <c r="N14" s="96"/>
    </row>
    <row r="15" spans="1:14" ht="33" customHeight="1" x14ac:dyDescent="0.3">
      <c r="A15" s="96"/>
      <c r="B15" s="348"/>
      <c r="C15" s="615" t="s">
        <v>742</v>
      </c>
      <c r="D15" s="407"/>
      <c r="E15" s="407"/>
      <c r="F15" s="408"/>
      <c r="G15" s="327"/>
      <c r="H15" s="328"/>
      <c r="I15" s="237"/>
      <c r="J15" s="329">
        <f t="shared" si="0"/>
        <v>0</v>
      </c>
      <c r="K15" s="330"/>
      <c r="L15" s="96"/>
      <c r="M15" s="96"/>
      <c r="N15" s="96"/>
    </row>
    <row r="16" spans="1:14" ht="33" customHeight="1" x14ac:dyDescent="0.3">
      <c r="A16" s="96"/>
      <c r="B16" s="348"/>
      <c r="C16" s="615" t="s">
        <v>743</v>
      </c>
      <c r="D16" s="407"/>
      <c r="E16" s="407"/>
      <c r="F16" s="408"/>
      <c r="G16" s="327"/>
      <c r="H16" s="328"/>
      <c r="I16" s="237"/>
      <c r="J16" s="329">
        <f t="shared" si="0"/>
        <v>0</v>
      </c>
      <c r="K16" s="330"/>
      <c r="L16" s="96"/>
      <c r="M16" s="96"/>
      <c r="N16" s="96"/>
    </row>
    <row r="17" spans="1:14" ht="30.75" customHeight="1" x14ac:dyDescent="0.3">
      <c r="A17" s="96"/>
      <c r="B17" s="348"/>
      <c r="C17" s="615" t="s">
        <v>744</v>
      </c>
      <c r="D17" s="407"/>
      <c r="E17" s="407"/>
      <c r="F17" s="408"/>
      <c r="G17" s="327"/>
      <c r="H17" s="328"/>
      <c r="I17" s="237"/>
      <c r="J17" s="329">
        <f t="shared" si="0"/>
        <v>0</v>
      </c>
      <c r="K17" s="330"/>
      <c r="L17" s="96"/>
      <c r="M17" s="96"/>
      <c r="N17" s="96"/>
    </row>
    <row r="18" spans="1:14" ht="31.5" customHeight="1" x14ac:dyDescent="0.3">
      <c r="A18" s="96"/>
      <c r="B18" s="348"/>
      <c r="C18" s="615" t="s">
        <v>745</v>
      </c>
      <c r="D18" s="407"/>
      <c r="E18" s="407"/>
      <c r="F18" s="408"/>
      <c r="G18" s="327"/>
      <c r="H18" s="328"/>
      <c r="I18" s="237"/>
      <c r="J18" s="329">
        <f t="shared" si="0"/>
        <v>0</v>
      </c>
      <c r="K18" s="330"/>
      <c r="L18" s="96"/>
      <c r="M18" s="96"/>
      <c r="N18" s="96"/>
    </row>
    <row r="19" spans="1:14" ht="37.5" customHeight="1" x14ac:dyDescent="0.3">
      <c r="A19" s="96"/>
      <c r="B19" s="348"/>
      <c r="C19" s="615" t="s">
        <v>746</v>
      </c>
      <c r="D19" s="407"/>
      <c r="E19" s="407"/>
      <c r="F19" s="408"/>
      <c r="G19" s="327"/>
      <c r="H19" s="328"/>
      <c r="I19" s="237"/>
      <c r="J19" s="329">
        <f t="shared" si="0"/>
        <v>0</v>
      </c>
      <c r="K19" s="330"/>
      <c r="L19" s="96"/>
      <c r="M19" s="96"/>
      <c r="N19" s="96"/>
    </row>
    <row r="20" spans="1:14" ht="33" customHeight="1" x14ac:dyDescent="0.3">
      <c r="A20" s="96"/>
      <c r="B20" s="348"/>
      <c r="C20" s="615" t="s">
        <v>747</v>
      </c>
      <c r="D20" s="407"/>
      <c r="E20" s="407"/>
      <c r="F20" s="408"/>
      <c r="G20" s="327"/>
      <c r="H20" s="328"/>
      <c r="I20" s="237"/>
      <c r="J20" s="329">
        <f t="shared" si="0"/>
        <v>0</v>
      </c>
      <c r="K20" s="330"/>
      <c r="L20" s="96"/>
      <c r="M20" s="96"/>
      <c r="N20" s="96"/>
    </row>
    <row r="21" spans="1:14" ht="30" customHeight="1" x14ac:dyDescent="0.3">
      <c r="A21" s="96"/>
      <c r="B21" s="348"/>
      <c r="C21" s="615" t="s">
        <v>748</v>
      </c>
      <c r="D21" s="407"/>
      <c r="E21" s="407"/>
      <c r="F21" s="408"/>
      <c r="G21" s="327"/>
      <c r="H21" s="328"/>
      <c r="I21" s="237"/>
      <c r="J21" s="329">
        <f t="shared" si="0"/>
        <v>0</v>
      </c>
      <c r="K21" s="331"/>
      <c r="L21" s="96"/>
      <c r="M21" s="96"/>
      <c r="N21" s="96"/>
    </row>
    <row r="22" spans="1:14" ht="31.5" customHeight="1" x14ac:dyDescent="0.3">
      <c r="A22" s="96"/>
      <c r="B22" s="348"/>
      <c r="C22" s="615" t="s">
        <v>749</v>
      </c>
      <c r="D22" s="407"/>
      <c r="E22" s="407"/>
      <c r="F22" s="408"/>
      <c r="G22" s="327"/>
      <c r="H22" s="328"/>
      <c r="I22" s="237"/>
      <c r="J22" s="329">
        <f t="shared" si="0"/>
        <v>0</v>
      </c>
      <c r="K22" s="331"/>
      <c r="L22" s="96"/>
      <c r="M22" s="96"/>
      <c r="N22" s="96"/>
    </row>
    <row r="23" spans="1:14" ht="30" customHeight="1" x14ac:dyDescent="0.3">
      <c r="A23" s="96"/>
      <c r="B23" s="349"/>
      <c r="C23" s="615" t="s">
        <v>750</v>
      </c>
      <c r="D23" s="407"/>
      <c r="E23" s="407"/>
      <c r="F23" s="408"/>
      <c r="G23" s="327"/>
      <c r="H23" s="328"/>
      <c r="I23" s="237"/>
      <c r="J23" s="329">
        <f t="shared" si="0"/>
        <v>0</v>
      </c>
      <c r="K23" s="331"/>
      <c r="L23" s="96"/>
      <c r="M23" s="96"/>
      <c r="N23" s="96"/>
    </row>
    <row r="24" spans="1:14" ht="18" customHeight="1" x14ac:dyDescent="0.3">
      <c r="B24" s="614" t="s">
        <v>751</v>
      </c>
      <c r="C24" s="407"/>
      <c r="D24" s="407"/>
      <c r="E24" s="407"/>
      <c r="F24" s="408"/>
      <c r="G24" s="333"/>
      <c r="H24" s="333"/>
      <c r="I24" s="334"/>
      <c r="J24" s="335">
        <f>J12+J13+J14+J15+J16+J17+J18+J19+J20+J21+J22+J23</f>
        <v>0</v>
      </c>
      <c r="K24" s="350"/>
    </row>
    <row r="25" spans="1:14" ht="15.75" customHeight="1" x14ac:dyDescent="0.3">
      <c r="B25" s="96"/>
      <c r="C25" s="96"/>
      <c r="D25" s="96"/>
      <c r="E25" s="96"/>
      <c r="F25" s="96"/>
      <c r="G25" s="96"/>
      <c r="H25" s="96"/>
      <c r="I25" s="96"/>
      <c r="J25" s="96"/>
      <c r="K25" s="186"/>
    </row>
    <row r="26" spans="1:14" ht="15.75" customHeight="1" x14ac:dyDescent="0.3">
      <c r="B26" s="546" t="s">
        <v>726</v>
      </c>
      <c r="C26" s="407"/>
      <c r="D26" s="407"/>
      <c r="E26" s="407"/>
      <c r="F26" s="407"/>
      <c r="G26" s="407"/>
      <c r="H26" s="407"/>
      <c r="I26" s="407"/>
      <c r="J26" s="407"/>
      <c r="K26" s="408"/>
    </row>
    <row r="27" spans="1:14" ht="15.75" customHeight="1" x14ac:dyDescent="0.3">
      <c r="B27" s="612"/>
      <c r="C27" s="613" t="s">
        <v>752</v>
      </c>
      <c r="D27" s="407"/>
      <c r="E27" s="407"/>
      <c r="F27" s="408"/>
      <c r="G27" s="337"/>
      <c r="H27" s="328"/>
      <c r="I27" s="237"/>
      <c r="J27" s="329">
        <f t="shared" ref="J27:J31" si="1">I27*H27</f>
        <v>0</v>
      </c>
      <c r="K27" s="331"/>
    </row>
    <row r="28" spans="1:14" ht="15.75" customHeight="1" x14ac:dyDescent="0.3">
      <c r="B28" s="563"/>
      <c r="C28" s="613" t="s">
        <v>753</v>
      </c>
      <c r="D28" s="407"/>
      <c r="E28" s="407"/>
      <c r="F28" s="408"/>
      <c r="G28" s="337"/>
      <c r="H28" s="328"/>
      <c r="I28" s="237"/>
      <c r="J28" s="329">
        <f t="shared" si="1"/>
        <v>0</v>
      </c>
      <c r="K28" s="331"/>
    </row>
    <row r="29" spans="1:14" ht="15.75" customHeight="1" x14ac:dyDescent="0.3">
      <c r="B29" s="563"/>
      <c r="C29" s="613" t="s">
        <v>754</v>
      </c>
      <c r="D29" s="407"/>
      <c r="E29" s="407"/>
      <c r="F29" s="408"/>
      <c r="G29" s="337"/>
      <c r="H29" s="328"/>
      <c r="I29" s="237"/>
      <c r="J29" s="329">
        <f t="shared" si="1"/>
        <v>0</v>
      </c>
      <c r="K29" s="331"/>
    </row>
    <row r="30" spans="1:14" ht="15.75" customHeight="1" x14ac:dyDescent="0.3">
      <c r="B30" s="563"/>
      <c r="C30" s="613" t="s">
        <v>755</v>
      </c>
      <c r="D30" s="407"/>
      <c r="E30" s="407"/>
      <c r="F30" s="408"/>
      <c r="G30" s="337"/>
      <c r="H30" s="328"/>
      <c r="I30" s="237"/>
      <c r="J30" s="329">
        <f t="shared" si="1"/>
        <v>0</v>
      </c>
      <c r="K30" s="331"/>
    </row>
    <row r="31" spans="1:14" ht="15.75" customHeight="1" x14ac:dyDescent="0.3">
      <c r="B31" s="533"/>
      <c r="C31" s="613" t="s">
        <v>756</v>
      </c>
      <c r="D31" s="407"/>
      <c r="E31" s="407"/>
      <c r="F31" s="408"/>
      <c r="G31" s="337"/>
      <c r="H31" s="328"/>
      <c r="I31" s="237"/>
      <c r="J31" s="329">
        <f t="shared" si="1"/>
        <v>0</v>
      </c>
      <c r="K31" s="331"/>
    </row>
    <row r="32" spans="1:14" ht="15.75" customHeight="1" x14ac:dyDescent="0.3">
      <c r="B32" s="614" t="s">
        <v>259</v>
      </c>
      <c r="C32" s="407"/>
      <c r="D32" s="407"/>
      <c r="E32" s="407"/>
      <c r="F32" s="408"/>
      <c r="G32" s="333"/>
      <c r="H32" s="333"/>
      <c r="I32" s="334"/>
      <c r="J32" s="335">
        <f>J27+J28+J29+J30+J31</f>
        <v>0</v>
      </c>
      <c r="K32" s="351"/>
    </row>
    <row r="33" spans="2:11" ht="15.75" customHeight="1" x14ac:dyDescent="0.3">
      <c r="B33" s="96"/>
      <c r="C33" s="96"/>
      <c r="D33" s="96"/>
      <c r="E33" s="96"/>
      <c r="F33" s="96"/>
      <c r="G33" s="96"/>
      <c r="H33" s="96"/>
      <c r="I33" s="96"/>
      <c r="J33" s="96"/>
      <c r="K33" s="186"/>
    </row>
    <row r="34" spans="2:11" ht="15.75" customHeight="1" x14ac:dyDescent="0.3">
      <c r="B34" s="609" t="str">
        <f>IF('1. DEMANDE'!G30="AGRICULTURE","Marge brute sur coût d'achats des produits agricoles","Marge sur coût d'achat des marchandises")</f>
        <v>Marge brute sur coût d'achats des produits agricoles</v>
      </c>
      <c r="C34" s="479"/>
      <c r="D34" s="479"/>
      <c r="E34" s="479"/>
      <c r="F34" s="479"/>
      <c r="G34" s="479"/>
      <c r="H34" s="479"/>
      <c r="I34" s="610"/>
      <c r="J34" s="339">
        <f>J32-J24</f>
        <v>0</v>
      </c>
      <c r="K34" s="352" t="str">
        <f>IF(J34&lt;0,"NÉGATIF",IF(J34&gt;0,"POSITIF","NUL"))</f>
        <v>NUL</v>
      </c>
    </row>
    <row r="35" spans="2:11" ht="15.75" customHeight="1" x14ac:dyDescent="0.3">
      <c r="K35" s="88"/>
    </row>
    <row r="36" spans="2:11" ht="15.75" customHeight="1" x14ac:dyDescent="0.3">
      <c r="K36" s="88"/>
    </row>
    <row r="37" spans="2:11" ht="15.75" customHeight="1" x14ac:dyDescent="0.3">
      <c r="K37" s="88"/>
    </row>
    <row r="38" spans="2:11" ht="15.75" customHeight="1" x14ac:dyDescent="0.3">
      <c r="K38" s="88"/>
    </row>
    <row r="39" spans="2:11" ht="15.75" customHeight="1" x14ac:dyDescent="0.3">
      <c r="K39" s="88"/>
    </row>
    <row r="40" spans="2:11" ht="15.75" customHeight="1" x14ac:dyDescent="0.3">
      <c r="K40" s="88"/>
    </row>
    <row r="41" spans="2:11" ht="15.75" customHeight="1" x14ac:dyDescent="0.3">
      <c r="K41" s="88"/>
    </row>
    <row r="42" spans="2:11" ht="15.75" customHeight="1" x14ac:dyDescent="0.3">
      <c r="K42" s="88"/>
    </row>
    <row r="43" spans="2:11" ht="15.75" customHeight="1" x14ac:dyDescent="0.3">
      <c r="K43" s="88"/>
    </row>
    <row r="44" spans="2:11" ht="15.75" customHeight="1" x14ac:dyDescent="0.3">
      <c r="K44" s="88"/>
    </row>
    <row r="45" spans="2:11" ht="15.75" customHeight="1" x14ac:dyDescent="0.3">
      <c r="K45" s="88"/>
    </row>
    <row r="46" spans="2:11" ht="15.75" customHeight="1" x14ac:dyDescent="0.3">
      <c r="K46" s="88"/>
    </row>
    <row r="47" spans="2:11" ht="15.75" customHeight="1" x14ac:dyDescent="0.3">
      <c r="K47" s="88"/>
    </row>
    <row r="48" spans="2:11" ht="15.75" customHeight="1" x14ac:dyDescent="0.3">
      <c r="K48" s="88"/>
    </row>
    <row r="49" spans="11:11" ht="15.75" customHeight="1" x14ac:dyDescent="0.3">
      <c r="K49" s="88"/>
    </row>
    <row r="50" spans="11:11" ht="15.75" customHeight="1" x14ac:dyDescent="0.3">
      <c r="K50" s="88"/>
    </row>
    <row r="51" spans="11:11" ht="15.75" customHeight="1" x14ac:dyDescent="0.3">
      <c r="K51" s="88"/>
    </row>
    <row r="52" spans="11:11" ht="15.75" customHeight="1" x14ac:dyDescent="0.3">
      <c r="K52" s="88"/>
    </row>
    <row r="53" spans="11:11" ht="15.75" customHeight="1" x14ac:dyDescent="0.3">
      <c r="K53" s="88"/>
    </row>
    <row r="54" spans="11:11" ht="15.75" customHeight="1" x14ac:dyDescent="0.3">
      <c r="K54" s="88"/>
    </row>
    <row r="55" spans="11:11" ht="15.75" customHeight="1" x14ac:dyDescent="0.3">
      <c r="K55" s="88"/>
    </row>
    <row r="56" spans="11:11" ht="15.75" customHeight="1" x14ac:dyDescent="0.3">
      <c r="K56" s="88"/>
    </row>
    <row r="57" spans="11:11" ht="15.75" customHeight="1" x14ac:dyDescent="0.3">
      <c r="K57" s="88"/>
    </row>
    <row r="58" spans="11:11" ht="15.75" customHeight="1" x14ac:dyDescent="0.3">
      <c r="K58" s="88"/>
    </row>
    <row r="59" spans="11:11" ht="15.75" customHeight="1" x14ac:dyDescent="0.3">
      <c r="K59" s="88"/>
    </row>
    <row r="60" spans="11:11" ht="15.75" customHeight="1" x14ac:dyDescent="0.3">
      <c r="K60" s="88"/>
    </row>
    <row r="61" spans="11:11" ht="15.75" customHeight="1" x14ac:dyDescent="0.3">
      <c r="K61" s="88"/>
    </row>
    <row r="62" spans="11:11" ht="15.75" customHeight="1" x14ac:dyDescent="0.3">
      <c r="K62" s="88"/>
    </row>
    <row r="63" spans="11:11" ht="15.75" customHeight="1" x14ac:dyDescent="0.3">
      <c r="K63" s="88"/>
    </row>
    <row r="64" spans="11:11" ht="15.75" customHeight="1" x14ac:dyDescent="0.3">
      <c r="K64" s="88"/>
    </row>
    <row r="65" spans="11:11" ht="15.75" customHeight="1" x14ac:dyDescent="0.3">
      <c r="K65" s="88"/>
    </row>
    <row r="66" spans="11:11" ht="15.75" customHeight="1" x14ac:dyDescent="0.3">
      <c r="K66" s="88"/>
    </row>
    <row r="67" spans="11:11" ht="15.75" customHeight="1" x14ac:dyDescent="0.3">
      <c r="K67" s="88"/>
    </row>
    <row r="68" spans="11:11" ht="15.75" customHeight="1" x14ac:dyDescent="0.3">
      <c r="K68" s="88"/>
    </row>
    <row r="69" spans="11:11" ht="15.75" customHeight="1" x14ac:dyDescent="0.3">
      <c r="K69" s="88"/>
    </row>
    <row r="70" spans="11:11" ht="15.75" customHeight="1" x14ac:dyDescent="0.3">
      <c r="K70" s="88"/>
    </row>
    <row r="71" spans="11:11" ht="15.75" customHeight="1" x14ac:dyDescent="0.3">
      <c r="K71" s="88"/>
    </row>
    <row r="72" spans="11:11" ht="15.75" customHeight="1" x14ac:dyDescent="0.3">
      <c r="K72" s="88"/>
    </row>
    <row r="73" spans="11:11" ht="15.75" customHeight="1" x14ac:dyDescent="0.3">
      <c r="K73" s="88"/>
    </row>
    <row r="74" spans="11:11" ht="15.75" customHeight="1" x14ac:dyDescent="0.3">
      <c r="K74" s="88"/>
    </row>
    <row r="75" spans="11:11" ht="15.75" customHeight="1" x14ac:dyDescent="0.3">
      <c r="K75" s="88"/>
    </row>
    <row r="76" spans="11:11" ht="15.75" customHeight="1" x14ac:dyDescent="0.3">
      <c r="K76" s="88"/>
    </row>
    <row r="77" spans="11:11" ht="15.75" customHeight="1" x14ac:dyDescent="0.3">
      <c r="K77" s="88"/>
    </row>
    <row r="78" spans="11:11" ht="15.75" customHeight="1" x14ac:dyDescent="0.3">
      <c r="K78" s="88"/>
    </row>
    <row r="79" spans="11:11" ht="15.75" customHeight="1" x14ac:dyDescent="0.3">
      <c r="K79" s="88"/>
    </row>
    <row r="80" spans="11:11" ht="15.75" customHeight="1" x14ac:dyDescent="0.3">
      <c r="K80" s="88"/>
    </row>
    <row r="81" spans="11:11" ht="15.75" customHeight="1" x14ac:dyDescent="0.3">
      <c r="K81" s="88"/>
    </row>
    <row r="82" spans="11:11" ht="15.75" customHeight="1" x14ac:dyDescent="0.3">
      <c r="K82" s="88"/>
    </row>
    <row r="83" spans="11:11" ht="15.75" customHeight="1" x14ac:dyDescent="0.3">
      <c r="K83" s="88"/>
    </row>
    <row r="84" spans="11:11" ht="15.75" customHeight="1" x14ac:dyDescent="0.3">
      <c r="K84" s="88"/>
    </row>
    <row r="85" spans="11:11" ht="15.75" customHeight="1" x14ac:dyDescent="0.3">
      <c r="K85" s="88"/>
    </row>
    <row r="86" spans="11:11" ht="15.75" customHeight="1" x14ac:dyDescent="0.3">
      <c r="K86" s="88"/>
    </row>
    <row r="87" spans="11:11" ht="15.75" customHeight="1" x14ac:dyDescent="0.3">
      <c r="K87" s="88"/>
    </row>
    <row r="88" spans="11:11" ht="15.75" customHeight="1" x14ac:dyDescent="0.3">
      <c r="K88" s="88"/>
    </row>
    <row r="89" spans="11:11" ht="15.75" customHeight="1" x14ac:dyDescent="0.3">
      <c r="K89" s="88"/>
    </row>
    <row r="90" spans="11:11" ht="15.75" customHeight="1" x14ac:dyDescent="0.3">
      <c r="K90" s="88"/>
    </row>
    <row r="91" spans="11:11" ht="15.75" customHeight="1" x14ac:dyDescent="0.3">
      <c r="K91" s="88"/>
    </row>
    <row r="92" spans="11:11" ht="15.75" customHeight="1" x14ac:dyDescent="0.3">
      <c r="K92" s="88"/>
    </row>
    <row r="93" spans="11:11" ht="15.75" customHeight="1" x14ac:dyDescent="0.3">
      <c r="K93" s="88"/>
    </row>
    <row r="94" spans="11:11" ht="15.75" customHeight="1" x14ac:dyDescent="0.3">
      <c r="K94" s="88"/>
    </row>
    <row r="95" spans="11:11" ht="15.75" customHeight="1" x14ac:dyDescent="0.3">
      <c r="K95" s="88"/>
    </row>
    <row r="96" spans="11:11" ht="15.75" customHeight="1" x14ac:dyDescent="0.3">
      <c r="K96" s="88"/>
    </row>
    <row r="97" spans="11:11" ht="15.75" customHeight="1" x14ac:dyDescent="0.3">
      <c r="K97" s="88"/>
    </row>
    <row r="98" spans="11:11" ht="15.75" customHeight="1" x14ac:dyDescent="0.3">
      <c r="K98" s="88"/>
    </row>
    <row r="99" spans="11:11" ht="15.75" customHeight="1" x14ac:dyDescent="0.3">
      <c r="K99" s="88"/>
    </row>
    <row r="100" spans="11:11" ht="15.75" customHeight="1" x14ac:dyDescent="0.3">
      <c r="K100" s="88"/>
    </row>
  </sheetData>
  <mergeCells count="32">
    <mergeCell ref="B32:F32"/>
    <mergeCell ref="B34:I34"/>
    <mergeCell ref="B24:F24"/>
    <mergeCell ref="B26:K26"/>
    <mergeCell ref="H4:I4"/>
    <mergeCell ref="I8:J8"/>
    <mergeCell ref="B4:E4"/>
    <mergeCell ref="F4:G4"/>
    <mergeCell ref="J4:K4"/>
    <mergeCell ref="B11:K11"/>
    <mergeCell ref="C12:F12"/>
    <mergeCell ref="C13:F13"/>
    <mergeCell ref="C14:F14"/>
    <mergeCell ref="C20:F20"/>
    <mergeCell ref="C21:F21"/>
    <mergeCell ref="C29:F29"/>
    <mergeCell ref="B27:B31"/>
    <mergeCell ref="C23:F23"/>
    <mergeCell ref="C30:F30"/>
    <mergeCell ref="C31:F31"/>
    <mergeCell ref="C28:F28"/>
    <mergeCell ref="B2:E2"/>
    <mergeCell ref="F2:I2"/>
    <mergeCell ref="B10:F10"/>
    <mergeCell ref="F8:H8"/>
    <mergeCell ref="C15:F15"/>
    <mergeCell ref="C22:F22"/>
    <mergeCell ref="C16:F16"/>
    <mergeCell ref="C19:F19"/>
    <mergeCell ref="C17:F17"/>
    <mergeCell ref="C18:F18"/>
    <mergeCell ref="C27:F27"/>
  </mergeCells>
  <conditionalFormatting sqref="K34">
    <cfRule type="containsText" dxfId="3" priority="1" operator="containsText" text="POSITIF">
      <formula>NOT(ISERROR(SEARCH(("POSITIF"),(K34))))</formula>
    </cfRule>
    <cfRule type="containsText" dxfId="2" priority="2" operator="containsText" text="NÉGATIF">
      <formula>NOT(ISERROR(SEARCH(("NÉGATIF"),(K34))))</formula>
    </cfRule>
  </conditionalFormatting>
  <pageMargins left="0.70866141732283472" right="0.31496062992125984" top="0.74803149606299213" bottom="0.74803149606299213" header="0" footer="0"/>
  <pageSetup scale="70" orientation="portrait"/>
  <headerFooter>
    <oddFooter>&amp;LGrille d’analyse de crédit agricole développé par DID&amp;C_x000D_#000000 Usage Interne</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N100"/>
  <sheetViews>
    <sheetView showGridLines="0" workbookViewId="0"/>
  </sheetViews>
  <sheetFormatPr baseColWidth="10" defaultColWidth="14.44140625" defaultRowHeight="15" customHeight="1" x14ac:dyDescent="0.3"/>
  <cols>
    <col min="1" max="1" width="10.88671875" customWidth="1"/>
    <col min="2" max="2" width="4" customWidth="1"/>
    <col min="3" max="3" width="4.88671875" customWidth="1"/>
    <col min="4" max="4" width="17.5546875" customWidth="1"/>
    <col min="5" max="5" width="6.5546875" customWidth="1"/>
    <col min="6" max="6" width="9.88671875" customWidth="1"/>
    <col min="7" max="7" width="10.109375" customWidth="1"/>
    <col min="8" max="8" width="14.44140625" customWidth="1"/>
    <col min="9" max="9" width="19" customWidth="1"/>
    <col min="10" max="10" width="17.88671875" customWidth="1"/>
    <col min="11" max="11" width="24" customWidth="1"/>
    <col min="12" max="14" width="10.88671875" customWidth="1"/>
  </cols>
  <sheetData>
    <row r="1" spans="1:14" ht="14.4" x14ac:dyDescent="0.3">
      <c r="K1" s="88"/>
    </row>
    <row r="2" spans="1:14" ht="17.399999999999999" x14ac:dyDescent="0.35">
      <c r="B2" s="432" t="s">
        <v>535</v>
      </c>
      <c r="C2" s="399"/>
      <c r="D2" s="399"/>
      <c r="E2" s="399"/>
      <c r="F2" s="487" t="str">
        <f>TRFM3!F2</f>
        <v>MARIAMA KABA</v>
      </c>
      <c r="G2" s="382"/>
      <c r="H2" s="382"/>
      <c r="I2" s="383"/>
      <c r="J2" s="60" t="s">
        <v>429</v>
      </c>
      <c r="K2" s="342" t="str">
        <f>TRFM3!K2</f>
        <v>FORECARIAH</v>
      </c>
    </row>
    <row r="3" spans="1:14" ht="17.399999999999999" x14ac:dyDescent="0.35">
      <c r="B3" s="73"/>
      <c r="C3" s="73"/>
      <c r="D3" s="73"/>
      <c r="E3" s="73"/>
      <c r="F3" s="73"/>
      <c r="G3" s="73"/>
      <c r="H3" s="73"/>
      <c r="I3" s="73"/>
      <c r="J3" s="73"/>
      <c r="K3" s="343"/>
    </row>
    <row r="4" spans="1:14" ht="17.399999999999999" x14ac:dyDescent="0.35">
      <c r="B4" s="432" t="s">
        <v>536</v>
      </c>
      <c r="C4" s="399"/>
      <c r="D4" s="399"/>
      <c r="E4" s="399"/>
      <c r="F4" s="619">
        <f>TRFM3!F4</f>
        <v>10300181501</v>
      </c>
      <c r="G4" s="383"/>
      <c r="H4" s="431" t="s">
        <v>433</v>
      </c>
      <c r="I4" s="399"/>
      <c r="J4" s="487" t="str">
        <f>'1. DEMANDE'!AD7</f>
        <v>MOHAMED MMAH CAMARA</v>
      </c>
      <c r="K4" s="383"/>
    </row>
    <row r="5" spans="1:14" ht="14.4" x14ac:dyDescent="0.3">
      <c r="K5" s="344"/>
    </row>
    <row r="6" spans="1:14" ht="17.399999999999999" x14ac:dyDescent="0.3">
      <c r="I6" s="60" t="s">
        <v>515</v>
      </c>
      <c r="J6" s="226">
        <f>TRFM3!J6</f>
        <v>46093</v>
      </c>
      <c r="K6" s="88"/>
    </row>
    <row r="7" spans="1:14" ht="12" customHeight="1" x14ac:dyDescent="0.3">
      <c r="I7" s="60"/>
      <c r="K7" s="88"/>
    </row>
    <row r="8" spans="1:14" ht="18" x14ac:dyDescent="0.35">
      <c r="B8" s="325" t="s">
        <v>613</v>
      </c>
      <c r="C8" s="611" t="s">
        <v>757</v>
      </c>
      <c r="D8" s="382"/>
      <c r="E8" s="382"/>
      <c r="F8" s="382"/>
      <c r="G8" s="382"/>
      <c r="H8" s="383"/>
      <c r="I8" s="616"/>
      <c r="J8" s="383"/>
      <c r="K8" s="345"/>
    </row>
    <row r="9" spans="1:14" ht="14.4" x14ac:dyDescent="0.3">
      <c r="K9" s="88"/>
    </row>
    <row r="10" spans="1:14" ht="18" customHeight="1" x14ac:dyDescent="0.3">
      <c r="B10" s="617" t="s">
        <v>706</v>
      </c>
      <c r="C10" s="407"/>
      <c r="D10" s="407"/>
      <c r="E10" s="407"/>
      <c r="F10" s="408"/>
      <c r="G10" s="326" t="s">
        <v>707</v>
      </c>
      <c r="H10" s="326" t="s">
        <v>708</v>
      </c>
      <c r="I10" s="326" t="s">
        <v>709</v>
      </c>
      <c r="J10" s="326" t="s">
        <v>710</v>
      </c>
      <c r="K10" s="346" t="s">
        <v>583</v>
      </c>
    </row>
    <row r="11" spans="1:14" ht="18" customHeight="1" x14ac:dyDescent="0.3">
      <c r="B11" s="546" t="s">
        <v>758</v>
      </c>
      <c r="C11" s="407"/>
      <c r="D11" s="407"/>
      <c r="E11" s="407"/>
      <c r="F11" s="407"/>
      <c r="G11" s="407"/>
      <c r="H11" s="407"/>
      <c r="I11" s="407"/>
      <c r="J11" s="407"/>
      <c r="K11" s="408"/>
    </row>
    <row r="12" spans="1:14" ht="36" customHeight="1" x14ac:dyDescent="0.3">
      <c r="A12" s="96"/>
      <c r="B12" s="347"/>
      <c r="C12" s="615" t="s">
        <v>759</v>
      </c>
      <c r="D12" s="407"/>
      <c r="E12" s="407"/>
      <c r="F12" s="408"/>
      <c r="G12" s="327"/>
      <c r="H12" s="328"/>
      <c r="I12" s="237"/>
      <c r="J12" s="329">
        <f t="shared" ref="J12:J23" si="0">I12*H12</f>
        <v>0</v>
      </c>
      <c r="K12" s="330"/>
      <c r="L12" s="96"/>
      <c r="M12" s="96"/>
      <c r="N12" s="96"/>
    </row>
    <row r="13" spans="1:14" ht="33.75" customHeight="1" x14ac:dyDescent="0.3">
      <c r="A13" s="96"/>
      <c r="B13" s="348"/>
      <c r="C13" s="615" t="s">
        <v>739</v>
      </c>
      <c r="D13" s="407"/>
      <c r="E13" s="407"/>
      <c r="F13" s="408"/>
      <c r="G13" s="327"/>
      <c r="H13" s="328"/>
      <c r="I13" s="237"/>
      <c r="J13" s="329">
        <f t="shared" si="0"/>
        <v>0</v>
      </c>
      <c r="K13" s="330"/>
      <c r="L13" s="96"/>
      <c r="M13" s="96"/>
      <c r="N13" s="96"/>
    </row>
    <row r="14" spans="1:14" ht="30" customHeight="1" x14ac:dyDescent="0.3">
      <c r="A14" s="96"/>
      <c r="B14" s="348"/>
      <c r="C14" s="615" t="s">
        <v>740</v>
      </c>
      <c r="D14" s="407"/>
      <c r="E14" s="407"/>
      <c r="F14" s="408"/>
      <c r="G14" s="327"/>
      <c r="H14" s="328"/>
      <c r="I14" s="237"/>
      <c r="J14" s="329">
        <f t="shared" si="0"/>
        <v>0</v>
      </c>
      <c r="K14" s="330"/>
      <c r="L14" s="96"/>
      <c r="M14" s="96"/>
      <c r="N14" s="96"/>
    </row>
    <row r="15" spans="1:14" ht="33" customHeight="1" x14ac:dyDescent="0.3">
      <c r="A15" s="96"/>
      <c r="B15" s="348"/>
      <c r="C15" s="615" t="s">
        <v>741</v>
      </c>
      <c r="D15" s="407"/>
      <c r="E15" s="407"/>
      <c r="F15" s="408"/>
      <c r="G15" s="327"/>
      <c r="H15" s="328"/>
      <c r="I15" s="237"/>
      <c r="J15" s="329">
        <f t="shared" si="0"/>
        <v>0</v>
      </c>
      <c r="K15" s="330"/>
      <c r="L15" s="96"/>
      <c r="M15" s="96"/>
      <c r="N15" s="96"/>
    </row>
    <row r="16" spans="1:14" ht="33" customHeight="1" x14ac:dyDescent="0.3">
      <c r="A16" s="96"/>
      <c r="B16" s="348"/>
      <c r="C16" s="615" t="s">
        <v>742</v>
      </c>
      <c r="D16" s="407"/>
      <c r="E16" s="407"/>
      <c r="F16" s="408"/>
      <c r="G16" s="327"/>
      <c r="H16" s="328"/>
      <c r="I16" s="237"/>
      <c r="J16" s="329">
        <f t="shared" si="0"/>
        <v>0</v>
      </c>
      <c r="K16" s="330"/>
      <c r="L16" s="96"/>
      <c r="M16" s="96"/>
      <c r="N16" s="96"/>
    </row>
    <row r="17" spans="1:14" ht="30.75" customHeight="1" x14ac:dyDescent="0.3">
      <c r="A17" s="96"/>
      <c r="B17" s="348"/>
      <c r="C17" s="615" t="s">
        <v>743</v>
      </c>
      <c r="D17" s="407"/>
      <c r="E17" s="407"/>
      <c r="F17" s="408"/>
      <c r="G17" s="327"/>
      <c r="H17" s="328"/>
      <c r="I17" s="237"/>
      <c r="J17" s="329">
        <f t="shared" si="0"/>
        <v>0</v>
      </c>
      <c r="K17" s="330"/>
      <c r="L17" s="96"/>
      <c r="M17" s="96"/>
      <c r="N17" s="96"/>
    </row>
    <row r="18" spans="1:14" ht="31.5" customHeight="1" x14ac:dyDescent="0.3">
      <c r="A18" s="96"/>
      <c r="B18" s="348"/>
      <c r="C18" s="615" t="s">
        <v>744</v>
      </c>
      <c r="D18" s="407"/>
      <c r="E18" s="407"/>
      <c r="F18" s="408"/>
      <c r="G18" s="327"/>
      <c r="H18" s="328"/>
      <c r="I18" s="237"/>
      <c r="J18" s="329">
        <f t="shared" si="0"/>
        <v>0</v>
      </c>
      <c r="K18" s="330"/>
      <c r="L18" s="96"/>
      <c r="M18" s="96"/>
      <c r="N18" s="96"/>
    </row>
    <row r="19" spans="1:14" ht="37.5" customHeight="1" x14ac:dyDescent="0.3">
      <c r="A19" s="96"/>
      <c r="B19" s="348"/>
      <c r="C19" s="615" t="s">
        <v>745</v>
      </c>
      <c r="D19" s="407"/>
      <c r="E19" s="407"/>
      <c r="F19" s="408"/>
      <c r="G19" s="327"/>
      <c r="H19" s="328"/>
      <c r="I19" s="237"/>
      <c r="J19" s="329">
        <f t="shared" si="0"/>
        <v>0</v>
      </c>
      <c r="K19" s="330"/>
      <c r="L19" s="96"/>
      <c r="M19" s="96"/>
      <c r="N19" s="96"/>
    </row>
    <row r="20" spans="1:14" ht="33" customHeight="1" x14ac:dyDescent="0.3">
      <c r="A20" s="96"/>
      <c r="B20" s="348"/>
      <c r="C20" s="615" t="s">
        <v>746</v>
      </c>
      <c r="D20" s="407"/>
      <c r="E20" s="407"/>
      <c r="F20" s="408"/>
      <c r="G20" s="327"/>
      <c r="H20" s="328"/>
      <c r="I20" s="237"/>
      <c r="J20" s="329">
        <f t="shared" si="0"/>
        <v>0</v>
      </c>
      <c r="K20" s="330"/>
      <c r="L20" s="96"/>
      <c r="M20" s="96"/>
      <c r="N20" s="96"/>
    </row>
    <row r="21" spans="1:14" ht="30" customHeight="1" x14ac:dyDescent="0.3">
      <c r="A21" s="96"/>
      <c r="B21" s="348"/>
      <c r="C21" s="615" t="s">
        <v>747</v>
      </c>
      <c r="D21" s="407"/>
      <c r="E21" s="407"/>
      <c r="F21" s="408"/>
      <c r="G21" s="327"/>
      <c r="H21" s="328"/>
      <c r="I21" s="237"/>
      <c r="J21" s="329">
        <f t="shared" si="0"/>
        <v>0</v>
      </c>
      <c r="K21" s="331"/>
      <c r="L21" s="96"/>
      <c r="M21" s="96"/>
      <c r="N21" s="96"/>
    </row>
    <row r="22" spans="1:14" ht="31.5" customHeight="1" x14ac:dyDescent="0.3">
      <c r="A22" s="96"/>
      <c r="B22" s="348"/>
      <c r="C22" s="615" t="s">
        <v>748</v>
      </c>
      <c r="D22" s="407"/>
      <c r="E22" s="407"/>
      <c r="F22" s="408"/>
      <c r="G22" s="327"/>
      <c r="H22" s="328"/>
      <c r="I22" s="237"/>
      <c r="J22" s="329">
        <f t="shared" si="0"/>
        <v>0</v>
      </c>
      <c r="K22" s="331"/>
      <c r="L22" s="96"/>
      <c r="M22" s="96"/>
      <c r="N22" s="96"/>
    </row>
    <row r="23" spans="1:14" ht="30" customHeight="1" x14ac:dyDescent="0.3">
      <c r="A23" s="96"/>
      <c r="B23" s="349"/>
      <c r="C23" s="615" t="s">
        <v>749</v>
      </c>
      <c r="D23" s="407"/>
      <c r="E23" s="407"/>
      <c r="F23" s="408"/>
      <c r="G23" s="327"/>
      <c r="H23" s="328"/>
      <c r="I23" s="237"/>
      <c r="J23" s="329">
        <f t="shared" si="0"/>
        <v>0</v>
      </c>
      <c r="K23" s="331"/>
      <c r="L23" s="96"/>
      <c r="M23" s="96"/>
      <c r="N23" s="96"/>
    </row>
    <row r="24" spans="1:14" ht="18" customHeight="1" x14ac:dyDescent="0.3">
      <c r="B24" s="614" t="s">
        <v>760</v>
      </c>
      <c r="C24" s="407"/>
      <c r="D24" s="407"/>
      <c r="E24" s="407"/>
      <c r="F24" s="408"/>
      <c r="G24" s="333"/>
      <c r="H24" s="333"/>
      <c r="I24" s="334"/>
      <c r="J24" s="335">
        <f>J12+J13+J14+J15+J16+J17+J18+J19+J20+J21+J22+J23</f>
        <v>0</v>
      </c>
      <c r="K24" s="350"/>
    </row>
    <row r="25" spans="1:14" ht="15.75" customHeight="1" x14ac:dyDescent="0.3">
      <c r="B25" s="96"/>
      <c r="C25" s="96"/>
      <c r="D25" s="96"/>
      <c r="E25" s="96"/>
      <c r="F25" s="96"/>
      <c r="G25" s="96"/>
      <c r="H25" s="96"/>
      <c r="I25" s="96"/>
      <c r="J25" s="96"/>
      <c r="K25" s="186"/>
    </row>
    <row r="26" spans="1:14" ht="15.75" customHeight="1" x14ac:dyDescent="0.3">
      <c r="B26" s="546" t="s">
        <v>726</v>
      </c>
      <c r="C26" s="407"/>
      <c r="D26" s="407"/>
      <c r="E26" s="407"/>
      <c r="F26" s="407"/>
      <c r="G26" s="407"/>
      <c r="H26" s="407"/>
      <c r="I26" s="407"/>
      <c r="J26" s="407"/>
      <c r="K26" s="408"/>
    </row>
    <row r="27" spans="1:14" ht="15.75" customHeight="1" x14ac:dyDescent="0.3">
      <c r="B27" s="612"/>
      <c r="C27" s="613" t="s">
        <v>761</v>
      </c>
      <c r="D27" s="407"/>
      <c r="E27" s="407"/>
      <c r="F27" s="408"/>
      <c r="G27" s="337"/>
      <c r="H27" s="328"/>
      <c r="I27" s="237"/>
      <c r="J27" s="329">
        <f t="shared" ref="J27:J31" si="1">I27*H27</f>
        <v>0</v>
      </c>
      <c r="K27" s="331"/>
    </row>
    <row r="28" spans="1:14" ht="15.75" customHeight="1" x14ac:dyDescent="0.3">
      <c r="B28" s="563"/>
      <c r="C28" s="613" t="s">
        <v>762</v>
      </c>
      <c r="D28" s="407"/>
      <c r="E28" s="407"/>
      <c r="F28" s="408"/>
      <c r="G28" s="337"/>
      <c r="H28" s="328"/>
      <c r="I28" s="237"/>
      <c r="J28" s="329">
        <f t="shared" si="1"/>
        <v>0</v>
      </c>
      <c r="K28" s="331"/>
    </row>
    <row r="29" spans="1:14" ht="15.75" customHeight="1" x14ac:dyDescent="0.3">
      <c r="B29" s="563"/>
      <c r="C29" s="613" t="s">
        <v>763</v>
      </c>
      <c r="D29" s="407"/>
      <c r="E29" s="407"/>
      <c r="F29" s="408"/>
      <c r="G29" s="337"/>
      <c r="H29" s="328"/>
      <c r="I29" s="237"/>
      <c r="J29" s="329">
        <f t="shared" si="1"/>
        <v>0</v>
      </c>
      <c r="K29" s="331"/>
    </row>
    <row r="30" spans="1:14" ht="15.75" customHeight="1" x14ac:dyDescent="0.3">
      <c r="B30" s="563"/>
      <c r="C30" s="613" t="s">
        <v>764</v>
      </c>
      <c r="D30" s="407"/>
      <c r="E30" s="407"/>
      <c r="F30" s="408"/>
      <c r="G30" s="337"/>
      <c r="H30" s="328"/>
      <c r="I30" s="237"/>
      <c r="J30" s="329">
        <f t="shared" si="1"/>
        <v>0</v>
      </c>
      <c r="K30" s="331"/>
    </row>
    <row r="31" spans="1:14" ht="15.75" customHeight="1" x14ac:dyDescent="0.3">
      <c r="B31" s="533"/>
      <c r="C31" s="613" t="s">
        <v>765</v>
      </c>
      <c r="D31" s="407"/>
      <c r="E31" s="407"/>
      <c r="F31" s="408"/>
      <c r="G31" s="337"/>
      <c r="H31" s="328"/>
      <c r="I31" s="237"/>
      <c r="J31" s="329">
        <f t="shared" si="1"/>
        <v>0</v>
      </c>
      <c r="K31" s="331"/>
    </row>
    <row r="32" spans="1:14" ht="15.75" customHeight="1" x14ac:dyDescent="0.3">
      <c r="B32" s="614" t="s">
        <v>259</v>
      </c>
      <c r="C32" s="407"/>
      <c r="D32" s="407"/>
      <c r="E32" s="407"/>
      <c r="F32" s="408"/>
      <c r="G32" s="333"/>
      <c r="H32" s="333"/>
      <c r="I32" s="334"/>
      <c r="J32" s="335">
        <f>J27+J28+J29+J30+J31</f>
        <v>0</v>
      </c>
      <c r="K32" s="351"/>
    </row>
    <row r="33" spans="2:11" ht="15.75" customHeight="1" x14ac:dyDescent="0.3">
      <c r="B33" s="96"/>
      <c r="C33" s="96"/>
      <c r="D33" s="96"/>
      <c r="E33" s="96"/>
      <c r="F33" s="96"/>
      <c r="G33" s="96"/>
      <c r="H33" s="96"/>
      <c r="I33" s="96"/>
      <c r="J33" s="96"/>
      <c r="K33" s="186"/>
    </row>
    <row r="34" spans="2:11" ht="15.75" customHeight="1" x14ac:dyDescent="0.3">
      <c r="B34" s="609" t="s">
        <v>766</v>
      </c>
      <c r="C34" s="479"/>
      <c r="D34" s="479"/>
      <c r="E34" s="479"/>
      <c r="F34" s="479"/>
      <c r="G34" s="479"/>
      <c r="H34" s="479"/>
      <c r="I34" s="610"/>
      <c r="J34" s="339">
        <f>J32-J24</f>
        <v>0</v>
      </c>
      <c r="K34" s="352" t="str">
        <f>IF(J34&lt;0,"NÉGATIF",IF(J34&gt;0,"POSITIF","NUL"))</f>
        <v>NUL</v>
      </c>
    </row>
    <row r="35" spans="2:11" ht="15.75" customHeight="1" x14ac:dyDescent="0.3">
      <c r="K35" s="88"/>
    </row>
    <row r="36" spans="2:11" ht="15.75" customHeight="1" x14ac:dyDescent="0.3">
      <c r="K36" s="88"/>
    </row>
    <row r="37" spans="2:11" ht="15.75" customHeight="1" x14ac:dyDescent="0.3">
      <c r="K37" s="88"/>
    </row>
    <row r="38" spans="2:11" ht="15.75" customHeight="1" x14ac:dyDescent="0.3">
      <c r="K38" s="88"/>
    </row>
    <row r="39" spans="2:11" ht="15.75" customHeight="1" x14ac:dyDescent="0.3">
      <c r="K39" s="88"/>
    </row>
    <row r="40" spans="2:11" ht="15.75" customHeight="1" x14ac:dyDescent="0.3">
      <c r="K40" s="88"/>
    </row>
    <row r="41" spans="2:11" ht="15.75" customHeight="1" x14ac:dyDescent="0.3">
      <c r="K41" s="88"/>
    </row>
    <row r="42" spans="2:11" ht="15.75" customHeight="1" x14ac:dyDescent="0.3">
      <c r="K42" s="88"/>
    </row>
    <row r="43" spans="2:11" ht="15.75" customHeight="1" x14ac:dyDescent="0.3">
      <c r="K43" s="88"/>
    </row>
    <row r="44" spans="2:11" ht="15.75" customHeight="1" x14ac:dyDescent="0.3">
      <c r="K44" s="88"/>
    </row>
    <row r="45" spans="2:11" ht="15.75" customHeight="1" x14ac:dyDescent="0.3">
      <c r="K45" s="88"/>
    </row>
    <row r="46" spans="2:11" ht="15.75" customHeight="1" x14ac:dyDescent="0.3">
      <c r="K46" s="88"/>
    </row>
    <row r="47" spans="2:11" ht="15.75" customHeight="1" x14ac:dyDescent="0.3">
      <c r="K47" s="88"/>
    </row>
    <row r="48" spans="2:11" ht="15.75" customHeight="1" x14ac:dyDescent="0.3">
      <c r="K48" s="88"/>
    </row>
    <row r="49" spans="11:11" ht="15.75" customHeight="1" x14ac:dyDescent="0.3">
      <c r="K49" s="88"/>
    </row>
    <row r="50" spans="11:11" ht="15.75" customHeight="1" x14ac:dyDescent="0.3">
      <c r="K50" s="88"/>
    </row>
    <row r="51" spans="11:11" ht="15.75" customHeight="1" x14ac:dyDescent="0.3">
      <c r="K51" s="88"/>
    </row>
    <row r="52" spans="11:11" ht="15.75" customHeight="1" x14ac:dyDescent="0.3">
      <c r="K52" s="88"/>
    </row>
    <row r="53" spans="11:11" ht="15.75" customHeight="1" x14ac:dyDescent="0.3">
      <c r="K53" s="88"/>
    </row>
    <row r="54" spans="11:11" ht="15.75" customHeight="1" x14ac:dyDescent="0.3">
      <c r="K54" s="88"/>
    </row>
    <row r="55" spans="11:11" ht="15.75" customHeight="1" x14ac:dyDescent="0.3">
      <c r="K55" s="88"/>
    </row>
    <row r="56" spans="11:11" ht="15.75" customHeight="1" x14ac:dyDescent="0.3">
      <c r="K56" s="88"/>
    </row>
    <row r="57" spans="11:11" ht="15.75" customHeight="1" x14ac:dyDescent="0.3">
      <c r="K57" s="88"/>
    </row>
    <row r="58" spans="11:11" ht="15.75" customHeight="1" x14ac:dyDescent="0.3">
      <c r="K58" s="88"/>
    </row>
    <row r="59" spans="11:11" ht="15.75" customHeight="1" x14ac:dyDescent="0.3">
      <c r="K59" s="88"/>
    </row>
    <row r="60" spans="11:11" ht="15.75" customHeight="1" x14ac:dyDescent="0.3">
      <c r="K60" s="88"/>
    </row>
    <row r="61" spans="11:11" ht="15.75" customHeight="1" x14ac:dyDescent="0.3">
      <c r="K61" s="88"/>
    </row>
    <row r="62" spans="11:11" ht="15.75" customHeight="1" x14ac:dyDescent="0.3">
      <c r="K62" s="88"/>
    </row>
    <row r="63" spans="11:11" ht="15.75" customHeight="1" x14ac:dyDescent="0.3">
      <c r="K63" s="88"/>
    </row>
    <row r="64" spans="11:11" ht="15.75" customHeight="1" x14ac:dyDescent="0.3">
      <c r="K64" s="88"/>
    </row>
    <row r="65" spans="11:11" ht="15.75" customHeight="1" x14ac:dyDescent="0.3">
      <c r="K65" s="88"/>
    </row>
    <row r="66" spans="11:11" ht="15.75" customHeight="1" x14ac:dyDescent="0.3">
      <c r="K66" s="88"/>
    </row>
    <row r="67" spans="11:11" ht="15.75" customHeight="1" x14ac:dyDescent="0.3">
      <c r="K67" s="88"/>
    </row>
    <row r="68" spans="11:11" ht="15.75" customHeight="1" x14ac:dyDescent="0.3">
      <c r="K68" s="88"/>
    </row>
    <row r="69" spans="11:11" ht="15.75" customHeight="1" x14ac:dyDescent="0.3">
      <c r="K69" s="88"/>
    </row>
    <row r="70" spans="11:11" ht="15.75" customHeight="1" x14ac:dyDescent="0.3">
      <c r="K70" s="88"/>
    </row>
    <row r="71" spans="11:11" ht="15.75" customHeight="1" x14ac:dyDescent="0.3">
      <c r="K71" s="88"/>
    </row>
    <row r="72" spans="11:11" ht="15.75" customHeight="1" x14ac:dyDescent="0.3">
      <c r="K72" s="88"/>
    </row>
    <row r="73" spans="11:11" ht="15.75" customHeight="1" x14ac:dyDescent="0.3">
      <c r="K73" s="88"/>
    </row>
    <row r="74" spans="11:11" ht="15.75" customHeight="1" x14ac:dyDescent="0.3">
      <c r="K74" s="88"/>
    </row>
    <row r="75" spans="11:11" ht="15.75" customHeight="1" x14ac:dyDescent="0.3">
      <c r="K75" s="88"/>
    </row>
    <row r="76" spans="11:11" ht="15.75" customHeight="1" x14ac:dyDescent="0.3">
      <c r="K76" s="88"/>
    </row>
    <row r="77" spans="11:11" ht="15.75" customHeight="1" x14ac:dyDescent="0.3">
      <c r="K77" s="88"/>
    </row>
    <row r="78" spans="11:11" ht="15.75" customHeight="1" x14ac:dyDescent="0.3">
      <c r="K78" s="88"/>
    </row>
    <row r="79" spans="11:11" ht="15.75" customHeight="1" x14ac:dyDescent="0.3">
      <c r="K79" s="88"/>
    </row>
    <row r="80" spans="11:11" ht="15.75" customHeight="1" x14ac:dyDescent="0.3">
      <c r="K80" s="88"/>
    </row>
    <row r="81" spans="11:11" ht="15.75" customHeight="1" x14ac:dyDescent="0.3">
      <c r="K81" s="88"/>
    </row>
    <row r="82" spans="11:11" ht="15.75" customHeight="1" x14ac:dyDescent="0.3">
      <c r="K82" s="88"/>
    </row>
    <row r="83" spans="11:11" ht="15.75" customHeight="1" x14ac:dyDescent="0.3">
      <c r="K83" s="88"/>
    </row>
    <row r="84" spans="11:11" ht="15.75" customHeight="1" x14ac:dyDescent="0.3">
      <c r="K84" s="88"/>
    </row>
    <row r="85" spans="11:11" ht="15.75" customHeight="1" x14ac:dyDescent="0.3">
      <c r="K85" s="88"/>
    </row>
    <row r="86" spans="11:11" ht="15.75" customHeight="1" x14ac:dyDescent="0.3">
      <c r="K86" s="88"/>
    </row>
    <row r="87" spans="11:11" ht="15.75" customHeight="1" x14ac:dyDescent="0.3">
      <c r="K87" s="88"/>
    </row>
    <row r="88" spans="11:11" ht="15.75" customHeight="1" x14ac:dyDescent="0.3">
      <c r="K88" s="88"/>
    </row>
    <row r="89" spans="11:11" ht="15.75" customHeight="1" x14ac:dyDescent="0.3">
      <c r="K89" s="88"/>
    </row>
    <row r="90" spans="11:11" ht="15.75" customHeight="1" x14ac:dyDescent="0.3">
      <c r="K90" s="88"/>
    </row>
    <row r="91" spans="11:11" ht="15.75" customHeight="1" x14ac:dyDescent="0.3">
      <c r="K91" s="88"/>
    </row>
    <row r="92" spans="11:11" ht="15.75" customHeight="1" x14ac:dyDescent="0.3">
      <c r="K92" s="88"/>
    </row>
    <row r="93" spans="11:11" ht="15.75" customHeight="1" x14ac:dyDescent="0.3">
      <c r="K93" s="88"/>
    </row>
    <row r="94" spans="11:11" ht="15.75" customHeight="1" x14ac:dyDescent="0.3">
      <c r="K94" s="88"/>
    </row>
    <row r="95" spans="11:11" ht="15.75" customHeight="1" x14ac:dyDescent="0.3">
      <c r="K95" s="88"/>
    </row>
    <row r="96" spans="11:11" ht="15.75" customHeight="1" x14ac:dyDescent="0.3">
      <c r="K96" s="88"/>
    </row>
    <row r="97" spans="11:11" ht="15.75" customHeight="1" x14ac:dyDescent="0.3">
      <c r="K97" s="88"/>
    </row>
    <row r="98" spans="11:11" ht="15.75" customHeight="1" x14ac:dyDescent="0.3">
      <c r="K98" s="88"/>
    </row>
    <row r="99" spans="11:11" ht="15.75" customHeight="1" x14ac:dyDescent="0.3">
      <c r="K99" s="88"/>
    </row>
    <row r="100" spans="11:11" ht="15.75" customHeight="1" x14ac:dyDescent="0.3">
      <c r="K100" s="88"/>
    </row>
  </sheetData>
  <mergeCells count="32">
    <mergeCell ref="B34:I34"/>
    <mergeCell ref="B27:B31"/>
    <mergeCell ref="C27:F27"/>
    <mergeCell ref="C28:F28"/>
    <mergeCell ref="C31:F31"/>
    <mergeCell ref="C29:F29"/>
    <mergeCell ref="C30:F30"/>
    <mergeCell ref="C23:F23"/>
    <mergeCell ref="B24:F24"/>
    <mergeCell ref="B32:F32"/>
    <mergeCell ref="B26:K26"/>
    <mergeCell ref="C14:F14"/>
    <mergeCell ref="C15:F15"/>
    <mergeCell ref="C16:F16"/>
    <mergeCell ref="C17:F17"/>
    <mergeCell ref="C18:F18"/>
    <mergeCell ref="C12:F12"/>
    <mergeCell ref="C19:F19"/>
    <mergeCell ref="C20:F20"/>
    <mergeCell ref="C21:F21"/>
    <mergeCell ref="C22:F22"/>
    <mergeCell ref="C13:F13"/>
    <mergeCell ref="B2:E2"/>
    <mergeCell ref="F2:I2"/>
    <mergeCell ref="B4:E4"/>
    <mergeCell ref="F4:G4"/>
    <mergeCell ref="H4:I4"/>
    <mergeCell ref="C8:H8"/>
    <mergeCell ref="I8:J8"/>
    <mergeCell ref="B10:F10"/>
    <mergeCell ref="B11:K11"/>
    <mergeCell ref="J4:K4"/>
  </mergeCells>
  <conditionalFormatting sqref="K34">
    <cfRule type="containsText" dxfId="1" priority="1" operator="containsText" text="POSITIF">
      <formula>NOT(ISERROR(SEARCH(("POSITIF"),(K34))))</formula>
    </cfRule>
    <cfRule type="containsText" dxfId="0" priority="2" operator="containsText" text="NÉGATIF">
      <formula>NOT(ISERROR(SEARCH(("NÉGATIF"),(K34))))</formula>
    </cfRule>
  </conditionalFormatting>
  <pageMargins left="0.70866141732283472" right="0.31496062992125984" top="0.74803149606299213" bottom="0.74803149606299213" header="0" footer="0"/>
  <pageSetup scale="70" orientation="portrait"/>
  <headerFooter>
    <oddFooter>&amp;LGrille d’analyse de crédit agricole développé par DID&amp;C_x000D_#000000 Usage Interne</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E75B5"/>
  </sheetPr>
  <dimension ref="A2:N100"/>
  <sheetViews>
    <sheetView showGridLines="0" topLeftCell="A45" workbookViewId="0"/>
  </sheetViews>
  <sheetFormatPr baseColWidth="10" defaultColWidth="14.44140625" defaultRowHeight="15" customHeight="1" x14ac:dyDescent="0.3"/>
  <cols>
    <col min="1" max="1" width="11.5546875" customWidth="1"/>
    <col min="2" max="2" width="36.109375" customWidth="1"/>
    <col min="3" max="3" width="17.88671875" customWidth="1"/>
    <col min="4" max="4" width="26.109375" customWidth="1"/>
    <col min="5" max="5" width="23.109375" customWidth="1"/>
    <col min="6" max="6" width="14.88671875" customWidth="1"/>
    <col min="7" max="7" width="16.44140625" customWidth="1"/>
    <col min="8" max="8" width="16" customWidth="1"/>
    <col min="9" max="9" width="10.88671875" customWidth="1"/>
    <col min="10" max="10" width="22.109375" customWidth="1"/>
    <col min="11" max="14" width="11.5546875" customWidth="1"/>
  </cols>
  <sheetData>
    <row r="2" spans="1:14" ht="17.399999999999999" x14ac:dyDescent="0.35">
      <c r="B2" s="83" t="s">
        <v>535</v>
      </c>
      <c r="C2" s="625" t="str">
        <f>TRFM3!F2</f>
        <v>MARIAMA KABA</v>
      </c>
      <c r="D2" s="399"/>
      <c r="E2" s="399"/>
      <c r="F2" s="431" t="s">
        <v>429</v>
      </c>
      <c r="G2" s="399"/>
      <c r="H2" s="625" t="str">
        <f>TRFM3!K2</f>
        <v>FORECARIAH</v>
      </c>
      <c r="I2" s="399"/>
      <c r="J2" s="60"/>
    </row>
    <row r="3" spans="1:14" ht="17.399999999999999" x14ac:dyDescent="0.35">
      <c r="B3" s="73"/>
      <c r="C3" s="73"/>
      <c r="D3" s="73"/>
      <c r="E3" s="73"/>
      <c r="F3" s="73"/>
      <c r="G3" s="73"/>
      <c r="H3" s="73"/>
      <c r="I3" s="73"/>
      <c r="J3" s="73"/>
      <c r="K3" s="343"/>
    </row>
    <row r="4" spans="1:14" ht="17.399999999999999" x14ac:dyDescent="0.35">
      <c r="B4" s="83" t="s">
        <v>536</v>
      </c>
      <c r="C4" s="73">
        <f>TRFM3!F4</f>
        <v>10300181501</v>
      </c>
      <c r="D4" s="83"/>
      <c r="E4" s="83"/>
      <c r="F4" s="628" t="s">
        <v>433</v>
      </c>
      <c r="G4" s="383"/>
      <c r="H4" s="486" t="str">
        <f>'1. DEMANDE'!AD7</f>
        <v>MOHAMED MMAH CAMARA</v>
      </c>
      <c r="I4" s="399"/>
      <c r="J4" s="399"/>
      <c r="K4" s="343"/>
    </row>
    <row r="5" spans="1:14" ht="17.399999999999999" x14ac:dyDescent="0.35">
      <c r="B5" s="83"/>
      <c r="C5" s="83"/>
      <c r="D5" s="83"/>
      <c r="E5" s="83"/>
      <c r="F5" s="83"/>
      <c r="G5" s="83"/>
      <c r="H5" s="83"/>
      <c r="I5" s="83"/>
      <c r="J5" s="83"/>
      <c r="K5" s="343"/>
    </row>
    <row r="6" spans="1:14" ht="17.399999999999999" x14ac:dyDescent="0.35">
      <c r="B6" s="83"/>
      <c r="C6" s="83"/>
      <c r="D6" s="83"/>
      <c r="E6" s="83"/>
      <c r="F6" s="83"/>
      <c r="G6" s="83"/>
      <c r="H6" s="83"/>
      <c r="I6" s="60" t="s">
        <v>515</v>
      </c>
      <c r="J6" s="353">
        <f>TRFM3!J6</f>
        <v>46093</v>
      </c>
      <c r="K6" s="88"/>
    </row>
    <row r="7" spans="1:14" ht="16.5" customHeight="1" x14ac:dyDescent="0.3"/>
    <row r="8" spans="1:14" ht="26.25" customHeight="1" x14ac:dyDescent="0.3">
      <c r="A8" s="96"/>
      <c r="B8" s="629" t="s">
        <v>767</v>
      </c>
      <c r="C8" s="407"/>
      <c r="D8" s="407"/>
      <c r="E8" s="407"/>
      <c r="F8" s="407"/>
      <c r="G8" s="407"/>
      <c r="H8" s="407"/>
      <c r="I8" s="407"/>
      <c r="J8" s="408"/>
      <c r="K8" s="96"/>
      <c r="L8" s="96"/>
      <c r="M8" s="96"/>
      <c r="N8" s="96"/>
    </row>
    <row r="9" spans="1:14" ht="19.5" customHeight="1" x14ac:dyDescent="0.4">
      <c r="B9" s="354"/>
      <c r="C9" s="354"/>
      <c r="D9" s="354"/>
      <c r="E9" s="354"/>
      <c r="F9" s="354"/>
      <c r="G9" s="354"/>
      <c r="H9" s="354"/>
      <c r="I9" s="354"/>
      <c r="J9" s="354"/>
    </row>
    <row r="10" spans="1:14" ht="19.5" customHeight="1" x14ac:dyDescent="0.4">
      <c r="B10" s="630" t="s">
        <v>768</v>
      </c>
      <c r="C10" s="382"/>
      <c r="D10" s="383"/>
      <c r="E10" s="354"/>
      <c r="F10" s="354"/>
      <c r="G10" s="354"/>
      <c r="H10" s="354"/>
      <c r="I10" s="354"/>
      <c r="J10" s="354"/>
    </row>
    <row r="11" spans="1:14" ht="9" customHeight="1" x14ac:dyDescent="0.3">
      <c r="A11" s="355"/>
      <c r="K11" s="355"/>
      <c r="L11" s="355"/>
      <c r="M11" s="355"/>
      <c r="N11" s="355"/>
    </row>
    <row r="12" spans="1:14" ht="14.4" x14ac:dyDescent="0.3">
      <c r="B12" s="356" t="s">
        <v>769</v>
      </c>
      <c r="J12" s="357" t="s">
        <v>770</v>
      </c>
    </row>
    <row r="13" spans="1:14" ht="33.75" customHeight="1" x14ac:dyDescent="0.3">
      <c r="B13" s="358" t="s">
        <v>771</v>
      </c>
      <c r="C13" s="626" t="s">
        <v>772</v>
      </c>
      <c r="D13" s="627"/>
      <c r="E13" s="358" t="s">
        <v>773</v>
      </c>
      <c r="F13" s="358" t="s">
        <v>774</v>
      </c>
      <c r="G13" s="358" t="s">
        <v>775</v>
      </c>
      <c r="H13" s="358" t="s">
        <v>776</v>
      </c>
      <c r="I13" s="359" t="s">
        <v>777</v>
      </c>
      <c r="J13" s="360" t="s">
        <v>778</v>
      </c>
    </row>
    <row r="14" spans="1:14" ht="19.5" customHeight="1" x14ac:dyDescent="0.3">
      <c r="B14" s="361"/>
      <c r="C14" s="623"/>
      <c r="D14" s="408"/>
      <c r="E14" s="362"/>
      <c r="F14" s="363"/>
      <c r="G14" s="364"/>
      <c r="H14" s="364"/>
      <c r="I14" s="365"/>
      <c r="J14" s="366" t="str">
        <f t="shared" ref="J14:J17" si="0">IF(H14="","",H14*I14)</f>
        <v/>
      </c>
    </row>
    <row r="15" spans="1:14" ht="20.25" customHeight="1" x14ac:dyDescent="0.3">
      <c r="B15" s="361"/>
      <c r="C15" s="623"/>
      <c r="D15" s="408"/>
      <c r="E15" s="362"/>
      <c r="F15" s="363"/>
      <c r="G15" s="364"/>
      <c r="H15" s="364"/>
      <c r="I15" s="365"/>
      <c r="J15" s="366" t="str">
        <f t="shared" si="0"/>
        <v/>
      </c>
    </row>
    <row r="16" spans="1:14" ht="23.25" customHeight="1" x14ac:dyDescent="0.3">
      <c r="A16" s="355"/>
      <c r="B16" s="367" t="s">
        <v>779</v>
      </c>
      <c r="C16" s="623"/>
      <c r="D16" s="408"/>
      <c r="E16" s="362"/>
      <c r="F16" s="368"/>
      <c r="G16" s="364"/>
      <c r="H16" s="364"/>
      <c r="I16" s="365"/>
      <c r="J16" s="366" t="str">
        <f t="shared" si="0"/>
        <v/>
      </c>
      <c r="K16" s="355"/>
      <c r="L16" s="355"/>
      <c r="M16" s="355"/>
      <c r="N16" s="355"/>
    </row>
    <row r="17" spans="1:14" ht="18" customHeight="1" x14ac:dyDescent="0.3">
      <c r="A17" s="355"/>
      <c r="B17" s="367" t="s">
        <v>779</v>
      </c>
      <c r="C17" s="623"/>
      <c r="D17" s="408"/>
      <c r="E17" s="362"/>
      <c r="F17" s="368"/>
      <c r="G17" s="364"/>
      <c r="H17" s="364"/>
      <c r="I17" s="365"/>
      <c r="J17" s="366" t="str">
        <f t="shared" si="0"/>
        <v/>
      </c>
      <c r="K17" s="355"/>
      <c r="L17" s="355"/>
      <c r="M17" s="355"/>
      <c r="N17" s="355"/>
    </row>
    <row r="18" spans="1:14" ht="18" customHeight="1" x14ac:dyDescent="0.3">
      <c r="A18" s="355"/>
      <c r="B18" s="624" t="s">
        <v>780</v>
      </c>
      <c r="C18" s="407"/>
      <c r="D18" s="407"/>
      <c r="E18" s="407"/>
      <c r="F18" s="408"/>
      <c r="G18" s="369" t="str">
        <f t="shared" ref="G18:H18" si="1">IF(SUM(G14:G17)&gt;0,SUM(G14:G17)," ")</f>
        <v xml:space="preserve"> </v>
      </c>
      <c r="H18" s="369" t="str">
        <f t="shared" si="1"/>
        <v xml:space="preserve"> </v>
      </c>
      <c r="I18" s="370"/>
      <c r="J18" s="371" t="str">
        <f>IF(SUM(J16:J17)&gt;0,SUM(J14:J17)," ")</f>
        <v xml:space="preserve"> </v>
      </c>
      <c r="K18" s="355"/>
      <c r="L18" s="355"/>
      <c r="M18" s="355"/>
      <c r="N18" s="355"/>
    </row>
    <row r="19" spans="1:14" ht="14.4" x14ac:dyDescent="0.3">
      <c r="A19" s="355"/>
      <c r="K19" s="355"/>
      <c r="L19" s="355"/>
      <c r="M19" s="355"/>
      <c r="N19" s="355"/>
    </row>
    <row r="20" spans="1:14" ht="14.4" x14ac:dyDescent="0.3">
      <c r="B20" s="356" t="s">
        <v>781</v>
      </c>
      <c r="J20" s="357" t="s">
        <v>770</v>
      </c>
    </row>
    <row r="21" spans="1:14" ht="33.75" customHeight="1" x14ac:dyDescent="0.3">
      <c r="B21" s="358" t="s">
        <v>771</v>
      </c>
      <c r="C21" s="626" t="s">
        <v>782</v>
      </c>
      <c r="D21" s="408"/>
      <c r="E21" s="372" t="s">
        <v>783</v>
      </c>
      <c r="F21" s="358" t="s">
        <v>773</v>
      </c>
      <c r="G21" s="358" t="s">
        <v>775</v>
      </c>
      <c r="H21" s="358" t="s">
        <v>776</v>
      </c>
      <c r="I21" s="359" t="s">
        <v>777</v>
      </c>
      <c r="J21" s="360" t="s">
        <v>778</v>
      </c>
    </row>
    <row r="22" spans="1:14" ht="18" customHeight="1" x14ac:dyDescent="0.3">
      <c r="B22" s="367" t="s">
        <v>779</v>
      </c>
      <c r="C22" s="631"/>
      <c r="D22" s="408"/>
      <c r="E22" s="373"/>
      <c r="F22" s="362"/>
      <c r="G22" s="364"/>
      <c r="H22" s="364"/>
      <c r="I22" s="365"/>
      <c r="J22" s="366" t="str">
        <f t="shared" ref="J22:J25" si="2">IF(H22="","",H22*I22)</f>
        <v/>
      </c>
    </row>
    <row r="23" spans="1:14" ht="18" customHeight="1" x14ac:dyDescent="0.3">
      <c r="B23" s="367"/>
      <c r="C23" s="631"/>
      <c r="D23" s="408"/>
      <c r="E23" s="373"/>
      <c r="F23" s="374"/>
      <c r="G23" s="364"/>
      <c r="H23" s="364"/>
      <c r="I23" s="365"/>
      <c r="J23" s="366" t="str">
        <f t="shared" si="2"/>
        <v/>
      </c>
    </row>
    <row r="24" spans="1:14" ht="18" customHeight="1" x14ac:dyDescent="0.3">
      <c r="B24" s="367"/>
      <c r="C24" s="631"/>
      <c r="D24" s="408"/>
      <c r="E24" s="373"/>
      <c r="F24" s="374"/>
      <c r="G24" s="364"/>
      <c r="H24" s="364"/>
      <c r="I24" s="365"/>
      <c r="J24" s="366" t="str">
        <f t="shared" si="2"/>
        <v/>
      </c>
    </row>
    <row r="25" spans="1:14" ht="18" customHeight="1" x14ac:dyDescent="0.3">
      <c r="B25" s="367"/>
      <c r="C25" s="631"/>
      <c r="D25" s="408"/>
      <c r="E25" s="373"/>
      <c r="F25" s="374"/>
      <c r="G25" s="364"/>
      <c r="H25" s="364"/>
      <c r="I25" s="364"/>
      <c r="J25" s="366" t="str">
        <f t="shared" si="2"/>
        <v/>
      </c>
    </row>
    <row r="26" spans="1:14" ht="18" customHeight="1" x14ac:dyDescent="0.3">
      <c r="A26" s="355"/>
      <c r="B26" s="624" t="s">
        <v>784</v>
      </c>
      <c r="C26" s="407"/>
      <c r="D26" s="407"/>
      <c r="E26" s="407"/>
      <c r="F26" s="408"/>
      <c r="G26" s="369" t="str">
        <f t="shared" ref="G26:H26" si="3">IF(SUM(G22:G25)&gt;0,SUM(G22:G25)," ")</f>
        <v xml:space="preserve"> </v>
      </c>
      <c r="H26" s="369" t="str">
        <f t="shared" si="3"/>
        <v xml:space="preserve"> </v>
      </c>
      <c r="I26" s="371"/>
      <c r="J26" s="371" t="str">
        <f>IF(SUM(J22:J25)&gt;0,SUM(J22:J25)," ")</f>
        <v xml:space="preserve"> </v>
      </c>
      <c r="K26" s="355"/>
      <c r="L26" s="355"/>
      <c r="M26" s="355"/>
      <c r="N26" s="355"/>
    </row>
    <row r="27" spans="1:14" ht="9" customHeight="1" x14ac:dyDescent="0.3">
      <c r="A27" s="355"/>
      <c r="K27" s="355"/>
      <c r="L27" s="355"/>
      <c r="M27" s="355"/>
      <c r="N27" s="355"/>
    </row>
    <row r="28" spans="1:14" ht="15.75" customHeight="1" x14ac:dyDescent="0.3">
      <c r="B28" s="356" t="s">
        <v>785</v>
      </c>
      <c r="J28" s="357" t="s">
        <v>770</v>
      </c>
    </row>
    <row r="29" spans="1:14" ht="33.75" customHeight="1" x14ac:dyDescent="0.3">
      <c r="B29" s="358" t="s">
        <v>786</v>
      </c>
      <c r="C29" s="626" t="s">
        <v>787</v>
      </c>
      <c r="D29" s="407"/>
      <c r="E29" s="408"/>
      <c r="F29" s="358" t="s">
        <v>773</v>
      </c>
      <c r="G29" s="358" t="s">
        <v>775</v>
      </c>
      <c r="H29" s="358" t="s">
        <v>776</v>
      </c>
      <c r="I29" s="359" t="s">
        <v>777</v>
      </c>
      <c r="J29" s="360" t="s">
        <v>788</v>
      </c>
    </row>
    <row r="30" spans="1:14" ht="18" customHeight="1" x14ac:dyDescent="0.3">
      <c r="B30" s="375" t="s">
        <v>779</v>
      </c>
      <c r="C30" s="631" t="s">
        <v>779</v>
      </c>
      <c r="D30" s="407"/>
      <c r="E30" s="408"/>
      <c r="F30" s="362"/>
      <c r="G30" s="364"/>
      <c r="H30" s="364"/>
      <c r="I30" s="365"/>
      <c r="J30" s="376" t="str">
        <f t="shared" ref="J30:J35" si="4">IF(H30="","",H30*I30)</f>
        <v/>
      </c>
    </row>
    <row r="31" spans="1:14" ht="18" customHeight="1" x14ac:dyDescent="0.3">
      <c r="B31" s="375" t="s">
        <v>779</v>
      </c>
      <c r="C31" s="631" t="s">
        <v>779</v>
      </c>
      <c r="D31" s="407"/>
      <c r="E31" s="408"/>
      <c r="F31" s="374"/>
      <c r="G31" s="364"/>
      <c r="H31" s="364"/>
      <c r="I31" s="365"/>
      <c r="J31" s="376" t="str">
        <f t="shared" si="4"/>
        <v/>
      </c>
    </row>
    <row r="32" spans="1:14" ht="18" customHeight="1" x14ac:dyDescent="0.3">
      <c r="B32" s="375"/>
      <c r="C32" s="631" t="s">
        <v>779</v>
      </c>
      <c r="D32" s="407"/>
      <c r="E32" s="408"/>
      <c r="F32" s="374"/>
      <c r="G32" s="364"/>
      <c r="H32" s="364"/>
      <c r="I32" s="365"/>
      <c r="J32" s="376" t="str">
        <f t="shared" si="4"/>
        <v/>
      </c>
    </row>
    <row r="33" spans="1:14" ht="18" customHeight="1" x14ac:dyDescent="0.3">
      <c r="B33" s="375"/>
      <c r="C33" s="631" t="s">
        <v>779</v>
      </c>
      <c r="D33" s="407"/>
      <c r="E33" s="408"/>
      <c r="F33" s="374"/>
      <c r="G33" s="364"/>
      <c r="H33" s="364"/>
      <c r="I33" s="365"/>
      <c r="J33" s="376" t="str">
        <f t="shared" si="4"/>
        <v/>
      </c>
    </row>
    <row r="34" spans="1:14" ht="18" customHeight="1" x14ac:dyDescent="0.3">
      <c r="B34" s="375"/>
      <c r="C34" s="631" t="s">
        <v>779</v>
      </c>
      <c r="D34" s="407"/>
      <c r="E34" s="408"/>
      <c r="F34" s="374"/>
      <c r="G34" s="364"/>
      <c r="H34" s="364"/>
      <c r="I34" s="365"/>
      <c r="J34" s="376" t="str">
        <f t="shared" si="4"/>
        <v/>
      </c>
    </row>
    <row r="35" spans="1:14" ht="18" customHeight="1" x14ac:dyDescent="0.3">
      <c r="B35" s="375"/>
      <c r="C35" s="631" t="s">
        <v>779</v>
      </c>
      <c r="D35" s="407"/>
      <c r="E35" s="408"/>
      <c r="F35" s="374"/>
      <c r="G35" s="364"/>
      <c r="H35" s="364"/>
      <c r="I35" s="365"/>
      <c r="J35" s="376" t="str">
        <f t="shared" si="4"/>
        <v/>
      </c>
    </row>
    <row r="36" spans="1:14" ht="18" customHeight="1" x14ac:dyDescent="0.3">
      <c r="A36" s="355"/>
      <c r="B36" s="624" t="s">
        <v>789</v>
      </c>
      <c r="C36" s="407"/>
      <c r="D36" s="407"/>
      <c r="E36" s="407"/>
      <c r="F36" s="408"/>
      <c r="G36" s="369" t="str">
        <f t="shared" ref="G36:H36" si="5">IF(SUM(G30:G35)&gt;0,SUM(G30:G35)," ")</f>
        <v xml:space="preserve"> </v>
      </c>
      <c r="H36" s="369" t="str">
        <f t="shared" si="5"/>
        <v xml:space="preserve"> </v>
      </c>
      <c r="I36" s="371"/>
      <c r="J36" s="371" t="str">
        <f>IF(SUM(J30:J35)&gt;0,SUM(J30:J35)," ")</f>
        <v xml:space="preserve"> </v>
      </c>
      <c r="K36" s="355"/>
      <c r="L36" s="355"/>
      <c r="M36" s="355"/>
      <c r="N36" s="355"/>
    </row>
    <row r="37" spans="1:14" ht="26.25" customHeight="1" x14ac:dyDescent="0.3">
      <c r="A37" s="355"/>
      <c r="K37" s="355"/>
      <c r="L37" s="355"/>
      <c r="M37" s="355"/>
      <c r="N37" s="355"/>
    </row>
    <row r="38" spans="1:14" ht="15.75" customHeight="1" x14ac:dyDescent="0.3">
      <c r="B38" s="356" t="s">
        <v>790</v>
      </c>
      <c r="J38" s="357" t="s">
        <v>770</v>
      </c>
    </row>
    <row r="39" spans="1:14" ht="33.75" customHeight="1" x14ac:dyDescent="0.3">
      <c r="B39" s="626" t="s">
        <v>791</v>
      </c>
      <c r="C39" s="407"/>
      <c r="D39" s="407"/>
      <c r="E39" s="408"/>
      <c r="F39" s="358" t="s">
        <v>773</v>
      </c>
      <c r="G39" s="358" t="s">
        <v>775</v>
      </c>
      <c r="H39" s="358" t="s">
        <v>776</v>
      </c>
      <c r="I39" s="359" t="s">
        <v>777</v>
      </c>
      <c r="J39" s="360" t="s">
        <v>778</v>
      </c>
    </row>
    <row r="40" spans="1:14" ht="18" customHeight="1" x14ac:dyDescent="0.3">
      <c r="B40" s="632"/>
      <c r="C40" s="407"/>
      <c r="D40" s="407"/>
      <c r="E40" s="627"/>
      <c r="F40" s="362"/>
      <c r="G40" s="364"/>
      <c r="H40" s="364"/>
      <c r="I40" s="365"/>
      <c r="J40" s="366" t="str">
        <f t="shared" ref="J40:J50" si="6">IF(H40="","",H40*I40)</f>
        <v/>
      </c>
    </row>
    <row r="41" spans="1:14" ht="18" customHeight="1" x14ac:dyDescent="0.3">
      <c r="B41" s="632"/>
      <c r="C41" s="407"/>
      <c r="D41" s="407"/>
      <c r="E41" s="627"/>
      <c r="F41" s="362"/>
      <c r="G41" s="364"/>
      <c r="H41" s="364"/>
      <c r="I41" s="365"/>
      <c r="J41" s="366" t="str">
        <f t="shared" si="6"/>
        <v/>
      </c>
    </row>
    <row r="42" spans="1:14" ht="18" customHeight="1" x14ac:dyDescent="0.3">
      <c r="B42" s="632"/>
      <c r="C42" s="407"/>
      <c r="D42" s="407"/>
      <c r="E42" s="627"/>
      <c r="F42" s="362"/>
      <c r="G42" s="364"/>
      <c r="H42" s="364"/>
      <c r="I42" s="365"/>
      <c r="J42" s="366" t="str">
        <f t="shared" si="6"/>
        <v/>
      </c>
    </row>
    <row r="43" spans="1:14" ht="18" customHeight="1" x14ac:dyDescent="0.3">
      <c r="B43" s="632"/>
      <c r="C43" s="407"/>
      <c r="D43" s="407"/>
      <c r="E43" s="627"/>
      <c r="F43" s="362"/>
      <c r="G43" s="364"/>
      <c r="H43" s="364"/>
      <c r="I43" s="365"/>
      <c r="J43" s="366" t="str">
        <f t="shared" si="6"/>
        <v/>
      </c>
    </row>
    <row r="44" spans="1:14" ht="18" customHeight="1" x14ac:dyDescent="0.3">
      <c r="B44" s="632"/>
      <c r="C44" s="407"/>
      <c r="D44" s="407"/>
      <c r="E44" s="627"/>
      <c r="F44" s="362"/>
      <c r="G44" s="364"/>
      <c r="H44" s="364"/>
      <c r="I44" s="365"/>
      <c r="J44" s="366" t="str">
        <f t="shared" si="6"/>
        <v/>
      </c>
    </row>
    <row r="45" spans="1:14" ht="18" customHeight="1" x14ac:dyDescent="0.3">
      <c r="B45" s="632"/>
      <c r="C45" s="407"/>
      <c r="D45" s="407"/>
      <c r="E45" s="627"/>
      <c r="F45" s="362"/>
      <c r="G45" s="364"/>
      <c r="H45" s="364"/>
      <c r="I45" s="365"/>
      <c r="J45" s="366" t="str">
        <f t="shared" si="6"/>
        <v/>
      </c>
    </row>
    <row r="46" spans="1:14" ht="18" customHeight="1" x14ac:dyDescent="0.3">
      <c r="B46" s="632"/>
      <c r="C46" s="407"/>
      <c r="D46" s="407"/>
      <c r="E46" s="627"/>
      <c r="F46" s="362"/>
      <c r="G46" s="364"/>
      <c r="H46" s="364"/>
      <c r="I46" s="365"/>
      <c r="J46" s="366" t="str">
        <f t="shared" si="6"/>
        <v/>
      </c>
    </row>
    <row r="47" spans="1:14" ht="18" customHeight="1" x14ac:dyDescent="0.3">
      <c r="B47" s="632"/>
      <c r="C47" s="407"/>
      <c r="D47" s="407"/>
      <c r="E47" s="627"/>
      <c r="F47" s="362"/>
      <c r="G47" s="364"/>
      <c r="H47" s="364"/>
      <c r="I47" s="365"/>
      <c r="J47" s="366" t="str">
        <f t="shared" si="6"/>
        <v/>
      </c>
    </row>
    <row r="48" spans="1:14" ht="18" customHeight="1" x14ac:dyDescent="0.3">
      <c r="B48" s="632"/>
      <c r="C48" s="407"/>
      <c r="D48" s="407"/>
      <c r="E48" s="627"/>
      <c r="F48" s="362"/>
      <c r="G48" s="364"/>
      <c r="H48" s="364"/>
      <c r="I48" s="365"/>
      <c r="J48" s="366" t="str">
        <f t="shared" si="6"/>
        <v/>
      </c>
    </row>
    <row r="49" spans="1:14" ht="18" customHeight="1" x14ac:dyDescent="0.3">
      <c r="B49" s="632"/>
      <c r="C49" s="407"/>
      <c r="D49" s="407"/>
      <c r="E49" s="627"/>
      <c r="F49" s="362"/>
      <c r="G49" s="364"/>
      <c r="H49" s="364"/>
      <c r="I49" s="365"/>
      <c r="J49" s="366" t="str">
        <f t="shared" si="6"/>
        <v/>
      </c>
    </row>
    <row r="50" spans="1:14" ht="18" customHeight="1" x14ac:dyDescent="0.3">
      <c r="A50" s="355"/>
      <c r="B50" s="632"/>
      <c r="C50" s="407"/>
      <c r="D50" s="407"/>
      <c r="E50" s="627"/>
      <c r="F50" s="362"/>
      <c r="G50" s="364"/>
      <c r="H50" s="364"/>
      <c r="I50" s="365"/>
      <c r="J50" s="366" t="str">
        <f t="shared" si="6"/>
        <v/>
      </c>
      <c r="K50" s="355"/>
      <c r="L50" s="355"/>
      <c r="M50" s="355"/>
      <c r="N50" s="355"/>
    </row>
    <row r="51" spans="1:14" ht="18" customHeight="1" x14ac:dyDescent="0.3">
      <c r="A51" s="355"/>
      <c r="B51" s="624" t="s">
        <v>792</v>
      </c>
      <c r="C51" s="407"/>
      <c r="D51" s="407"/>
      <c r="E51" s="407"/>
      <c r="F51" s="408"/>
      <c r="G51" s="369" t="str">
        <f t="shared" ref="G51:H51" si="7">IF(SUM(G40:G50)&gt;0,SUM(G40:G50)," ")</f>
        <v xml:space="preserve"> </v>
      </c>
      <c r="H51" s="369" t="str">
        <f t="shared" si="7"/>
        <v xml:space="preserve"> </v>
      </c>
      <c r="I51" s="371"/>
      <c r="J51" s="371" t="str">
        <f>IF(SUM(J40:J50)&gt;0,SUM(J40:J50)," ")</f>
        <v xml:space="preserve"> </v>
      </c>
      <c r="K51" s="355"/>
      <c r="L51" s="355"/>
      <c r="M51" s="355"/>
      <c r="N51" s="355"/>
    </row>
    <row r="52" spans="1:14" ht="6" customHeight="1" x14ac:dyDescent="0.3">
      <c r="A52" s="355"/>
      <c r="K52" s="355"/>
      <c r="L52" s="355"/>
      <c r="M52" s="355"/>
      <c r="N52" s="355"/>
    </row>
    <row r="53" spans="1:14" ht="15.75" customHeight="1" x14ac:dyDescent="0.4">
      <c r="B53" s="630" t="s">
        <v>793</v>
      </c>
      <c r="C53" s="382"/>
      <c r="D53" s="383"/>
    </row>
    <row r="54" spans="1:14" ht="13.5" customHeight="1" x14ac:dyDescent="0.4">
      <c r="B54" s="377"/>
      <c r="C54" s="377"/>
      <c r="D54" s="377"/>
      <c r="J54" s="357" t="s">
        <v>770</v>
      </c>
    </row>
    <row r="55" spans="1:14" ht="33.75" customHeight="1" x14ac:dyDescent="0.3">
      <c r="B55" s="626" t="s">
        <v>794</v>
      </c>
      <c r="C55" s="408"/>
      <c r="D55" s="626" t="s">
        <v>795</v>
      </c>
      <c r="E55" s="408"/>
      <c r="F55" s="358" t="s">
        <v>773</v>
      </c>
      <c r="G55" s="358" t="s">
        <v>775</v>
      </c>
      <c r="H55" s="358" t="s">
        <v>776</v>
      </c>
      <c r="I55" s="626" t="s">
        <v>583</v>
      </c>
      <c r="J55" s="408"/>
    </row>
    <row r="56" spans="1:14" ht="18" customHeight="1" x14ac:dyDescent="0.3">
      <c r="B56" s="620" t="s">
        <v>779</v>
      </c>
      <c r="C56" s="408"/>
      <c r="D56" s="623"/>
      <c r="E56" s="408"/>
      <c r="F56" s="362"/>
      <c r="G56" s="364"/>
      <c r="H56" s="364"/>
      <c r="I56" s="621"/>
      <c r="J56" s="408"/>
    </row>
    <row r="57" spans="1:14" ht="18" customHeight="1" x14ac:dyDescent="0.3">
      <c r="B57" s="620" t="s">
        <v>779</v>
      </c>
      <c r="C57" s="408"/>
      <c r="D57" s="623"/>
      <c r="E57" s="408"/>
      <c r="F57" s="362"/>
      <c r="G57" s="364"/>
      <c r="H57" s="364"/>
      <c r="I57" s="621"/>
      <c r="J57" s="408"/>
    </row>
    <row r="58" spans="1:14" ht="18" customHeight="1" x14ac:dyDescent="0.3">
      <c r="B58" s="620" t="s">
        <v>779</v>
      </c>
      <c r="C58" s="408"/>
      <c r="D58" s="623"/>
      <c r="E58" s="408"/>
      <c r="F58" s="362"/>
      <c r="G58" s="364"/>
      <c r="H58" s="364"/>
      <c r="I58" s="621"/>
      <c r="J58" s="408"/>
    </row>
    <row r="59" spans="1:14" ht="18" customHeight="1" x14ac:dyDescent="0.3">
      <c r="B59" s="620" t="s">
        <v>779</v>
      </c>
      <c r="C59" s="408"/>
      <c r="D59" s="623"/>
      <c r="E59" s="408"/>
      <c r="F59" s="362"/>
      <c r="G59" s="364"/>
      <c r="H59" s="364"/>
      <c r="I59" s="621"/>
      <c r="J59" s="408"/>
    </row>
    <row r="60" spans="1:14" ht="18" customHeight="1" x14ac:dyDescent="0.3">
      <c r="B60" s="620" t="s">
        <v>779</v>
      </c>
      <c r="C60" s="408"/>
      <c r="D60" s="623"/>
      <c r="E60" s="408"/>
      <c r="F60" s="362"/>
      <c r="G60" s="364"/>
      <c r="H60" s="364"/>
      <c r="I60" s="621"/>
      <c r="J60" s="408"/>
    </row>
    <row r="61" spans="1:14" ht="18" customHeight="1" x14ac:dyDescent="0.3">
      <c r="B61" s="620" t="s">
        <v>779</v>
      </c>
      <c r="C61" s="408"/>
      <c r="D61" s="623"/>
      <c r="E61" s="408"/>
      <c r="F61" s="362"/>
      <c r="G61" s="364"/>
      <c r="H61" s="364"/>
      <c r="I61" s="621"/>
      <c r="J61" s="408"/>
    </row>
    <row r="62" spans="1:14" ht="18" customHeight="1" x14ac:dyDescent="0.3">
      <c r="B62" s="620" t="s">
        <v>779</v>
      </c>
      <c r="C62" s="408"/>
      <c r="D62" s="623"/>
      <c r="E62" s="408"/>
      <c r="F62" s="362"/>
      <c r="G62" s="364"/>
      <c r="H62" s="364"/>
      <c r="I62" s="621"/>
      <c r="J62" s="408"/>
    </row>
    <row r="63" spans="1:14" ht="18" customHeight="1" x14ac:dyDescent="0.3">
      <c r="B63" s="620" t="s">
        <v>779</v>
      </c>
      <c r="C63" s="408"/>
      <c r="D63" s="623"/>
      <c r="E63" s="408"/>
      <c r="F63" s="362"/>
      <c r="G63" s="364"/>
      <c r="H63" s="364"/>
      <c r="I63" s="621"/>
      <c r="J63" s="408"/>
    </row>
    <row r="64" spans="1:14" ht="18" customHeight="1" x14ac:dyDescent="0.3">
      <c r="B64" s="620" t="s">
        <v>779</v>
      </c>
      <c r="C64" s="408"/>
      <c r="D64" s="623"/>
      <c r="E64" s="408"/>
      <c r="F64" s="362"/>
      <c r="G64" s="364"/>
      <c r="H64" s="364"/>
      <c r="I64" s="621"/>
      <c r="J64" s="408"/>
    </row>
    <row r="65" spans="1:14" ht="18" customHeight="1" x14ac:dyDescent="0.3">
      <c r="B65" s="620" t="s">
        <v>779</v>
      </c>
      <c r="C65" s="408"/>
      <c r="D65" s="623"/>
      <c r="E65" s="408"/>
      <c r="F65" s="362"/>
      <c r="G65" s="364"/>
      <c r="H65" s="364"/>
      <c r="I65" s="621"/>
      <c r="J65" s="408"/>
    </row>
    <row r="66" spans="1:14" ht="18" customHeight="1" x14ac:dyDescent="0.3">
      <c r="B66" s="620" t="s">
        <v>779</v>
      </c>
      <c r="C66" s="408"/>
      <c r="D66" s="623"/>
      <c r="E66" s="408"/>
      <c r="F66" s="362"/>
      <c r="G66" s="364"/>
      <c r="H66" s="364"/>
      <c r="I66" s="621"/>
      <c r="J66" s="408"/>
    </row>
    <row r="67" spans="1:14" ht="18" customHeight="1" x14ac:dyDescent="0.3">
      <c r="B67" s="620" t="s">
        <v>779</v>
      </c>
      <c r="C67" s="408"/>
      <c r="D67" s="623"/>
      <c r="E67" s="408"/>
      <c r="F67" s="362"/>
      <c r="G67" s="364"/>
      <c r="H67" s="364"/>
      <c r="I67" s="621"/>
      <c r="J67" s="408"/>
    </row>
    <row r="68" spans="1:14" ht="18" customHeight="1" x14ac:dyDescent="0.3">
      <c r="B68" s="620" t="s">
        <v>779</v>
      </c>
      <c r="C68" s="408"/>
      <c r="D68" s="623"/>
      <c r="E68" s="408"/>
      <c r="F68" s="362"/>
      <c r="G68" s="364"/>
      <c r="H68" s="364"/>
      <c r="I68" s="621"/>
      <c r="J68" s="408"/>
    </row>
    <row r="69" spans="1:14" ht="18" customHeight="1" x14ac:dyDescent="0.3">
      <c r="B69" s="620" t="s">
        <v>779</v>
      </c>
      <c r="C69" s="408"/>
      <c r="D69" s="623"/>
      <c r="E69" s="408"/>
      <c r="F69" s="362"/>
      <c r="G69" s="364"/>
      <c r="H69" s="364"/>
      <c r="I69" s="621"/>
      <c r="J69" s="408"/>
    </row>
    <row r="70" spans="1:14" ht="18" customHeight="1" x14ac:dyDescent="0.3">
      <c r="A70" s="355"/>
      <c r="B70" s="624" t="s">
        <v>796</v>
      </c>
      <c r="C70" s="407"/>
      <c r="D70" s="407"/>
      <c r="E70" s="407"/>
      <c r="F70" s="408"/>
      <c r="G70" s="369" t="str">
        <f t="shared" ref="G70:H70" si="8">IF(SUM(G56:G69)&gt;0,SUM(G56:G69)," ")</f>
        <v xml:space="preserve"> </v>
      </c>
      <c r="H70" s="369" t="str">
        <f t="shared" si="8"/>
        <v xml:space="preserve"> </v>
      </c>
      <c r="I70" s="622"/>
      <c r="J70" s="408"/>
      <c r="K70" s="355"/>
      <c r="L70" s="355"/>
      <c r="M70" s="355"/>
      <c r="N70" s="355"/>
    </row>
    <row r="71" spans="1:14" ht="9" customHeight="1" x14ac:dyDescent="0.3">
      <c r="A71" s="355"/>
      <c r="K71" s="355"/>
      <c r="L71" s="355"/>
      <c r="M71" s="355"/>
      <c r="N71" s="355"/>
    </row>
    <row r="72" spans="1:14" ht="16.5" customHeight="1" x14ac:dyDescent="0.3">
      <c r="B72" s="378"/>
    </row>
    <row r="73" spans="1:14" ht="15.75" customHeight="1" x14ac:dyDescent="0.3">
      <c r="B73" s="379"/>
    </row>
    <row r="74" spans="1:14" ht="15.75" customHeight="1" x14ac:dyDescent="0.3"/>
    <row r="75" spans="1:14" ht="15.75" customHeight="1" x14ac:dyDescent="0.3">
      <c r="B75" s="380"/>
    </row>
    <row r="76" spans="1:14" ht="15.75" customHeight="1" x14ac:dyDescent="0.3"/>
    <row r="77" spans="1:14" ht="15.75" customHeight="1" x14ac:dyDescent="0.3"/>
    <row r="78" spans="1:14" ht="15.75" customHeight="1" x14ac:dyDescent="0.3"/>
    <row r="79" spans="1:14" ht="15.75" customHeight="1" x14ac:dyDescent="0.3"/>
    <row r="80" spans="1:14"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sheetData>
  <mergeCells count="88">
    <mergeCell ref="D59:E59"/>
    <mergeCell ref="D58:E58"/>
    <mergeCell ref="D68:E68"/>
    <mergeCell ref="D69:E69"/>
    <mergeCell ref="C21:D21"/>
    <mergeCell ref="C22:D22"/>
    <mergeCell ref="C23:D23"/>
    <mergeCell ref="C24:D24"/>
    <mergeCell ref="B58:C58"/>
    <mergeCell ref="B59:C59"/>
    <mergeCell ref="B57:C57"/>
    <mergeCell ref="D57:E57"/>
    <mergeCell ref="C16:D16"/>
    <mergeCell ref="C17:D17"/>
    <mergeCell ref="C29:E29"/>
    <mergeCell ref="C30:E30"/>
    <mergeCell ref="B46:E46"/>
    <mergeCell ref="B47:E47"/>
    <mergeCell ref="B48:E48"/>
    <mergeCell ref="D55:E55"/>
    <mergeCell ref="D56:E56"/>
    <mergeCell ref="B51:F51"/>
    <mergeCell ref="B49:E49"/>
    <mergeCell ref="B50:E50"/>
    <mergeCell ref="B55:C55"/>
    <mergeCell ref="B56:C56"/>
    <mergeCell ref="B40:E40"/>
    <mergeCell ref="B41:E41"/>
    <mergeCell ref="B42:E42"/>
    <mergeCell ref="B43:E43"/>
    <mergeCell ref="B45:E45"/>
    <mergeCell ref="B44:E44"/>
    <mergeCell ref="I62:J62"/>
    <mergeCell ref="I63:J63"/>
    <mergeCell ref="I55:J55"/>
    <mergeCell ref="I56:J56"/>
    <mergeCell ref="I57:J57"/>
    <mergeCell ref="I58:J58"/>
    <mergeCell ref="I59:J59"/>
    <mergeCell ref="I60:J60"/>
    <mergeCell ref="I61:J61"/>
    <mergeCell ref="C2:E2"/>
    <mergeCell ref="F2:G2"/>
    <mergeCell ref="H2:I2"/>
    <mergeCell ref="H4:J4"/>
    <mergeCell ref="C13:D13"/>
    <mergeCell ref="F4:G4"/>
    <mergeCell ref="B8:J8"/>
    <mergeCell ref="B10:D10"/>
    <mergeCell ref="D64:E64"/>
    <mergeCell ref="D65:E65"/>
    <mergeCell ref="B65:C65"/>
    <mergeCell ref="C14:D14"/>
    <mergeCell ref="C15:D15"/>
    <mergeCell ref="B18:F18"/>
    <mergeCell ref="B53:D53"/>
    <mergeCell ref="C34:E34"/>
    <mergeCell ref="C35:E35"/>
    <mergeCell ref="C33:E33"/>
    <mergeCell ref="C25:D25"/>
    <mergeCell ref="B26:F26"/>
    <mergeCell ref="C31:E31"/>
    <mergeCell ref="C32:E32"/>
    <mergeCell ref="B36:F36"/>
    <mergeCell ref="B39:E39"/>
    <mergeCell ref="I70:J70"/>
    <mergeCell ref="I68:J68"/>
    <mergeCell ref="D60:E60"/>
    <mergeCell ref="B60:C60"/>
    <mergeCell ref="B61:C61"/>
    <mergeCell ref="B62:C62"/>
    <mergeCell ref="B63:C63"/>
    <mergeCell ref="B64:C64"/>
    <mergeCell ref="I64:J64"/>
    <mergeCell ref="I65:J65"/>
    <mergeCell ref="I66:J66"/>
    <mergeCell ref="I67:J67"/>
    <mergeCell ref="B70:F70"/>
    <mergeCell ref="D61:E61"/>
    <mergeCell ref="D62:E62"/>
    <mergeCell ref="D63:E63"/>
    <mergeCell ref="B66:C66"/>
    <mergeCell ref="B67:C67"/>
    <mergeCell ref="B68:C68"/>
    <mergeCell ref="B69:C69"/>
    <mergeCell ref="I69:J69"/>
    <mergeCell ref="D66:E66"/>
    <mergeCell ref="D67:E67"/>
  </mergeCells>
  <pageMargins left="0.51181102362204722" right="0.51181102362204722" top="0.74803149606299213" bottom="0.74803149606299213" header="0" footer="0"/>
  <pageSetup paperSize="9" scale="50" orientation="portrait"/>
  <headerFooter>
    <oddFooter>&amp;C_x000D_#000000 Usage Interne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93</vt:i4>
      </vt:variant>
    </vt:vector>
  </HeadingPairs>
  <TitlesOfParts>
    <vt:vector size="111" baseType="lpstr">
      <vt:lpstr>Modele</vt:lpstr>
      <vt:lpstr>.</vt:lpstr>
      <vt:lpstr>PARAMETRAGE</vt:lpstr>
      <vt:lpstr>GRILLE</vt:lpstr>
      <vt:lpstr>1. DEMANDE</vt:lpstr>
      <vt:lpstr>2. PROD</vt:lpstr>
      <vt:lpstr>3. BILAN</vt:lpstr>
      <vt:lpstr>4. BUDGET FAMILIAL</vt:lpstr>
      <vt:lpstr>5. RESULTAT</vt:lpstr>
      <vt:lpstr>6. MATRICE</vt:lpstr>
      <vt:lpstr>7. RISQUE</vt:lpstr>
      <vt:lpstr>8. PROPOSITION</vt:lpstr>
      <vt:lpstr>TRFM1</vt:lpstr>
      <vt:lpstr>TRFM2</vt:lpstr>
      <vt:lpstr>TRFM3</vt:lpstr>
      <vt:lpstr>COMM</vt:lpstr>
      <vt:lpstr>ANIMAL</vt:lpstr>
      <vt:lpstr>BIENS</vt:lpstr>
      <vt:lpstr>'.'!AGRICULTURE</vt:lpstr>
      <vt:lpstr>AGRICULTURE</vt:lpstr>
      <vt:lpstr>'.'!ALIBORI</vt:lpstr>
      <vt:lpstr>ALIBORI</vt:lpstr>
      <vt:lpstr>Alimentation</vt:lpstr>
      <vt:lpstr>'.'!ARTISANAT</vt:lpstr>
      <vt:lpstr>ARTISANAT</vt:lpstr>
      <vt:lpstr>Assistance</vt:lpstr>
      <vt:lpstr>'.'!ATACORA</vt:lpstr>
      <vt:lpstr>ATACORA</vt:lpstr>
      <vt:lpstr>'.'!ATLANTIQUE</vt:lpstr>
      <vt:lpstr>ATLANTIQUE</vt:lpstr>
      <vt:lpstr>Auto_école</vt:lpstr>
      <vt:lpstr>'.'!Autre</vt:lpstr>
      <vt:lpstr>Autre</vt:lpstr>
      <vt:lpstr>'.'!Autres_revenus</vt:lpstr>
      <vt:lpstr>Autres_revenus</vt:lpstr>
      <vt:lpstr>Boffa</vt:lpstr>
      <vt:lpstr>BOKÉ</vt:lpstr>
      <vt:lpstr>Boké_</vt:lpstr>
      <vt:lpstr>'.'!BORGOU</vt:lpstr>
      <vt:lpstr>BORGOU</vt:lpstr>
      <vt:lpstr>'.'!Charges_exploitation</vt:lpstr>
      <vt:lpstr>Charges_exploitation</vt:lpstr>
      <vt:lpstr>Coiffure</vt:lpstr>
      <vt:lpstr>'.'!COLLINES</vt:lpstr>
      <vt:lpstr>COLLINES</vt:lpstr>
      <vt:lpstr>'.'!COMMERCE</vt:lpstr>
      <vt:lpstr>COMMERCE</vt:lpstr>
      <vt:lpstr>'.'!Commercialisation</vt:lpstr>
      <vt:lpstr>Commercialisation</vt:lpstr>
      <vt:lpstr>CONAKRY</vt:lpstr>
      <vt:lpstr>Cordonnerie</vt:lpstr>
      <vt:lpstr>Cosmétique</vt:lpstr>
      <vt:lpstr>'.'!COUFFO</vt:lpstr>
      <vt:lpstr>COUFFO</vt:lpstr>
      <vt:lpstr>'.'!Département</vt:lpstr>
      <vt:lpstr>Département</vt:lpstr>
      <vt:lpstr>Divers_Service</vt:lpstr>
      <vt:lpstr>'.'!DONGA</vt:lpstr>
      <vt:lpstr>DONGA</vt:lpstr>
      <vt:lpstr>École___Collège</vt:lpstr>
      <vt:lpstr>Fabrication</vt:lpstr>
      <vt:lpstr>FARANAH</vt:lpstr>
      <vt:lpstr>FIVE</vt:lpstr>
      <vt:lpstr>Formation</vt:lpstr>
      <vt:lpstr>FOUR</vt:lpstr>
      <vt:lpstr>Habillement</vt:lpstr>
      <vt:lpstr>'.'!Historique</vt:lpstr>
      <vt:lpstr>Historique</vt:lpstr>
      <vt:lpstr>'.'!INDUSTRIE</vt:lpstr>
      <vt:lpstr>INDUSTRIE</vt:lpstr>
      <vt:lpstr>KANKAN</vt:lpstr>
      <vt:lpstr>KINDIA</vt:lpstr>
      <vt:lpstr>LABÉ</vt:lpstr>
      <vt:lpstr>'.'!LITTORAL</vt:lpstr>
      <vt:lpstr>LITTORAL</vt:lpstr>
      <vt:lpstr>Maçonnerie</vt:lpstr>
      <vt:lpstr>MAMOU</vt:lpstr>
      <vt:lpstr>Mécanique</vt:lpstr>
      <vt:lpstr>Menuiserie</vt:lpstr>
      <vt:lpstr>Mercerie</vt:lpstr>
      <vt:lpstr>'.'!MONO</vt:lpstr>
      <vt:lpstr>MONO</vt:lpstr>
      <vt:lpstr>'.'!niveau_de_risque</vt:lpstr>
      <vt:lpstr>niveau_de_risque</vt:lpstr>
      <vt:lpstr>NZÉRÉKORÉ</vt:lpstr>
      <vt:lpstr>'.'!Objet_crédit</vt:lpstr>
      <vt:lpstr>Objet_crédit</vt:lpstr>
      <vt:lpstr>ONE</vt:lpstr>
      <vt:lpstr>'.'!OUÉMÉ</vt:lpstr>
      <vt:lpstr>OUÉMÉ</vt:lpstr>
      <vt:lpstr>'.'!PDA</vt:lpstr>
      <vt:lpstr>PDA</vt:lpstr>
      <vt:lpstr>'.'!PLATEAU</vt:lpstr>
      <vt:lpstr>PLATEAU</vt:lpstr>
      <vt:lpstr>'.'!Production_animale</vt:lpstr>
      <vt:lpstr>Production_animale</vt:lpstr>
      <vt:lpstr>'.'!Production_végétale</vt:lpstr>
      <vt:lpstr>Production_végétale</vt:lpstr>
      <vt:lpstr>Restauration</vt:lpstr>
      <vt:lpstr>'.'!SERVICE</vt:lpstr>
      <vt:lpstr>SERVICE</vt:lpstr>
      <vt:lpstr>Service_divers</vt:lpstr>
      <vt:lpstr>SIX</vt:lpstr>
      <vt:lpstr>Soudure</vt:lpstr>
      <vt:lpstr>THREE</vt:lpstr>
      <vt:lpstr>'.'!Transformation</vt:lpstr>
      <vt:lpstr>Transformation</vt:lpstr>
      <vt:lpstr>TWO</vt:lpstr>
      <vt:lpstr>Vaisselle__Émaux</vt:lpstr>
      <vt:lpstr>'.'!ZOU</vt:lpstr>
      <vt:lpstr>ZOU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Narcisse SOGLOHOUN</dc:creator>
  <cp:keywords/>
  <dc:description/>
  <cp:lastModifiedBy>Salifou Doukoure</cp:lastModifiedBy>
  <cp:revision/>
  <dcterms:created xsi:type="dcterms:W3CDTF">2017-05-15T10:19:16Z</dcterms:created>
  <dcterms:modified xsi:type="dcterms:W3CDTF">2026-07-31T20:59:39Z</dcterms:modified>
  <cp:category/>
  <cp:contentStatus/>
</cp:coreProperties>
</file>